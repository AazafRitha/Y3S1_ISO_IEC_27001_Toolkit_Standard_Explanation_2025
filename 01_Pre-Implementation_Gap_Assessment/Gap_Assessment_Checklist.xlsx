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azaf\Desktop\ESIS 2\01_Pre-Implementation_Gap_Assessment\"/>
    </mc:Choice>
  </mc:AlternateContent>
  <xr:revisionPtr revIDLastSave="0" documentId="13_ncr:1_{72AC566C-CC0B-42D0-91AB-A9AA4C1ECBE9}" xr6:coauthVersionLast="47" xr6:coauthVersionMax="47" xr10:uidLastSave="{00000000-0000-0000-0000-000000000000}"/>
  <bookViews>
    <workbookView xWindow="1776" yWindow="1776" windowWidth="17280" windowHeight="9420" activeTab="2" xr2:uid="{00000000-000D-0000-FFFF-FFFF00000000}"/>
  </bookViews>
  <sheets>
    <sheet name="Cover" sheetId="1" r:id="rId1"/>
    <sheet name="_lists" sheetId="2" state="hidden" r:id="rId2"/>
    <sheet name="Clauses 4-10" sheetId="3" r:id="rId3"/>
    <sheet name="Annex A - A.5" sheetId="4" r:id="rId4"/>
    <sheet name="Annex A - A.6" sheetId="5" r:id="rId5"/>
    <sheet name="Annex A - A.7" sheetId="6" r:id="rId6"/>
    <sheet name="Annex A - A.8" sheetId="7" r:id="rId7"/>
  </sheets>
  <definedNames>
    <definedName name="PriorityList">_lists!$B$2:$B$4</definedName>
    <definedName name="StatusList">_lists!$A$2:$A$4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7" l="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40" i="7"/>
  <c r="I4" i="7"/>
  <c r="H17" i="6"/>
  <c r="H16" i="6"/>
  <c r="H15" i="6"/>
  <c r="H14" i="6"/>
  <c r="H13" i="6"/>
  <c r="H12" i="6"/>
  <c r="H11" i="6"/>
  <c r="H4" i="6"/>
  <c r="H5" i="6"/>
  <c r="H6" i="6"/>
  <c r="H7" i="6"/>
  <c r="H8" i="6"/>
  <c r="H9" i="6"/>
  <c r="H10" i="6"/>
  <c r="H19" i="6"/>
  <c r="I4" i="6"/>
  <c r="H4" i="5"/>
  <c r="H5" i="5"/>
  <c r="H6" i="5"/>
  <c r="H7" i="5"/>
  <c r="H8" i="5"/>
  <c r="H9" i="5"/>
  <c r="H10" i="5"/>
  <c r="H11" i="5"/>
  <c r="H14" i="5"/>
  <c r="I4" i="5"/>
  <c r="H4" i="4"/>
  <c r="H22" i="4"/>
  <c r="H10" i="4"/>
  <c r="H6" i="4"/>
  <c r="H43" i="4"/>
  <c r="H26" i="3"/>
  <c r="H25" i="3"/>
  <c r="H24" i="3"/>
  <c r="H23" i="3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1" i="4"/>
  <c r="H20" i="4"/>
  <c r="H19" i="4"/>
  <c r="H18" i="4"/>
  <c r="H17" i="4"/>
  <c r="H16" i="4"/>
  <c r="H15" i="4"/>
  <c r="H14" i="4"/>
  <c r="H13" i="4"/>
  <c r="H12" i="4"/>
  <c r="H11" i="4"/>
  <c r="H9" i="4"/>
  <c r="H8" i="4"/>
  <c r="H7" i="4"/>
  <c r="H5" i="4"/>
  <c r="I4" i="4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I5" i="3"/>
</calcChain>
</file>

<file path=xl/sharedStrings.xml><?xml version="1.0" encoding="utf-8"?>
<sst xmlns="http://schemas.openxmlformats.org/spreadsheetml/2006/main" count="429" uniqueCount="392">
  <si>
    <t>ISO/IEC 27001:2022 Gap Assessment Checklist</t>
  </si>
  <si>
    <t>Version</t>
  </si>
  <si>
    <t>1.0</t>
  </si>
  <si>
    <t>Date</t>
  </si>
  <si>
    <t>2025-10-13</t>
  </si>
  <si>
    <t>Prepared By</t>
  </si>
  <si>
    <t>Reviewed By</t>
  </si>
  <si>
    <t>StatusList</t>
  </si>
  <si>
    <t>PriorityList</t>
  </si>
  <si>
    <t>Met</t>
  </si>
  <si>
    <t>High</t>
  </si>
  <si>
    <t>Partial</t>
  </si>
  <si>
    <t>Medium</t>
  </si>
  <si>
    <t>Not Met</t>
  </si>
  <si>
    <t>Low</t>
  </si>
  <si>
    <t>Clause No</t>
  </si>
  <si>
    <t>Clause Title</t>
  </si>
  <si>
    <t>Requirement Summary</t>
  </si>
  <si>
    <t>Current Status</t>
  </si>
  <si>
    <t>Gap / Observation</t>
  </si>
  <si>
    <t>Recommended Action</t>
  </si>
  <si>
    <t>Priority</t>
  </si>
  <si>
    <t>Score (Met=1, Partial=0.5, Not=0)</t>
  </si>
  <si>
    <t>Compliance%</t>
  </si>
  <si>
    <t>4.1</t>
  </si>
  <si>
    <t>4.2</t>
  </si>
  <si>
    <t>4.3</t>
  </si>
  <si>
    <t>5.1</t>
  </si>
  <si>
    <t>5.2</t>
  </si>
  <si>
    <t>5.3</t>
  </si>
  <si>
    <t>6.1.2</t>
  </si>
  <si>
    <t>Information security risk assessment</t>
  </si>
  <si>
    <t>6.1.3</t>
  </si>
  <si>
    <t>Information security risk treatment</t>
  </si>
  <si>
    <t>6.2</t>
  </si>
  <si>
    <t>7.2</t>
  </si>
  <si>
    <t>Competence</t>
  </si>
  <si>
    <t>7.3</t>
  </si>
  <si>
    <t>Awareness</t>
  </si>
  <si>
    <t>7.4</t>
  </si>
  <si>
    <t>Communication</t>
  </si>
  <si>
    <t>8.1</t>
  </si>
  <si>
    <t>Operational planning and control</t>
  </si>
  <si>
    <t>9.1</t>
  </si>
  <si>
    <t>Monitoring, measurement, analysis and evaluation</t>
  </si>
  <si>
    <t>9.2</t>
  </si>
  <si>
    <t>Internal audit</t>
  </si>
  <si>
    <t>9.3</t>
  </si>
  <si>
    <t>Management review</t>
  </si>
  <si>
    <t>10.1</t>
  </si>
  <si>
    <t>Nonconformity and corrective action</t>
  </si>
  <si>
    <t>10.2</t>
  </si>
  <si>
    <t>Continual improvement</t>
  </si>
  <si>
    <t>Control ID</t>
  </si>
  <si>
    <t>Control Title</t>
  </si>
  <si>
    <t>Description / Requirement Summary</t>
  </si>
  <si>
    <t>Observation</t>
  </si>
  <si>
    <t>A.5.1</t>
  </si>
  <si>
    <t>A.5.2</t>
  </si>
  <si>
    <t>A.5.3</t>
  </si>
  <si>
    <t>A.5.4</t>
  </si>
  <si>
    <t>A.5.5</t>
  </si>
  <si>
    <t>A.5.6</t>
  </si>
  <si>
    <t>A.5.7</t>
  </si>
  <si>
    <t>A.5.8</t>
  </si>
  <si>
    <t>A.5.9</t>
  </si>
  <si>
    <t>A.5.10</t>
  </si>
  <si>
    <t>A.5.11</t>
  </si>
  <si>
    <t>A.5.12</t>
  </si>
  <si>
    <t>A.5.13</t>
  </si>
  <si>
    <t>A.5.14</t>
  </si>
  <si>
    <t>A.5.15</t>
  </si>
  <si>
    <t>A.5.16</t>
  </si>
  <si>
    <t>A.5.17</t>
  </si>
  <si>
    <t>A.5.18</t>
  </si>
  <si>
    <t>A.5.19</t>
  </si>
  <si>
    <t>A.5.20</t>
  </si>
  <si>
    <t>A.5.21</t>
  </si>
  <si>
    <t>A.5.22</t>
  </si>
  <si>
    <t>A.5.23</t>
  </si>
  <si>
    <t>A.5.24</t>
  </si>
  <si>
    <t>A.5.25</t>
  </si>
  <si>
    <t>A.5.26</t>
  </si>
  <si>
    <t>A.5.27</t>
  </si>
  <si>
    <t>A.5.28</t>
  </si>
  <si>
    <t>A.5.29</t>
  </si>
  <si>
    <t>A.5.30</t>
  </si>
  <si>
    <t>A.5.31</t>
  </si>
  <si>
    <t>A.5.32</t>
  </si>
  <si>
    <t>A.5.33</t>
  </si>
  <si>
    <t>A.5.34</t>
  </si>
  <si>
    <t>A.5.35</t>
  </si>
  <si>
    <t>A.5.36</t>
  </si>
  <si>
    <t>A.5.37</t>
  </si>
  <si>
    <t>A.6.1</t>
  </si>
  <si>
    <t>A.6.2</t>
  </si>
  <si>
    <t>A.6.3</t>
  </si>
  <si>
    <t>A.6.4</t>
  </si>
  <si>
    <t>A.6.5</t>
  </si>
  <si>
    <t>A.6.6</t>
  </si>
  <si>
    <t>A.6.7</t>
  </si>
  <si>
    <t>A.6.8</t>
  </si>
  <si>
    <t>A.7.1</t>
  </si>
  <si>
    <t>A.7.2</t>
  </si>
  <si>
    <t>A.7.3</t>
  </si>
  <si>
    <t>A.7.4</t>
  </si>
  <si>
    <t>A.7.5</t>
  </si>
  <si>
    <t>A.7.6</t>
  </si>
  <si>
    <t>A.7.7</t>
  </si>
  <si>
    <t>A.7.8</t>
  </si>
  <si>
    <t>A.7.9</t>
  </si>
  <si>
    <t>A.7.10</t>
  </si>
  <si>
    <t>A.7.11</t>
  </si>
  <si>
    <t>A.7.12</t>
  </si>
  <si>
    <t>A.7.13</t>
  </si>
  <si>
    <t>A.7.14</t>
  </si>
  <si>
    <t>A.8.1</t>
  </si>
  <si>
    <t>A.8.2</t>
  </si>
  <si>
    <t>A.8.3</t>
  </si>
  <si>
    <t>A.8.4</t>
  </si>
  <si>
    <t>A.8.5</t>
  </si>
  <si>
    <t>A.8.6</t>
  </si>
  <si>
    <t>A.8.7</t>
  </si>
  <si>
    <t>Backup</t>
  </si>
  <si>
    <t>A.8.8</t>
  </si>
  <si>
    <t>A.8.9</t>
  </si>
  <si>
    <t>A.8.10</t>
  </si>
  <si>
    <t>A.8.11</t>
  </si>
  <si>
    <t>A.8.12</t>
  </si>
  <si>
    <t>A.8.13</t>
  </si>
  <si>
    <t>A.8.14</t>
  </si>
  <si>
    <t>A.8.15</t>
  </si>
  <si>
    <t>A.8.16</t>
  </si>
  <si>
    <t>A.8.17</t>
  </si>
  <si>
    <t>A.8.18</t>
  </si>
  <si>
    <t>A.8.19</t>
  </si>
  <si>
    <t>A.8.20</t>
  </si>
  <si>
    <t>A.8.21</t>
  </si>
  <si>
    <t>A.8.22</t>
  </si>
  <si>
    <t>A.8.23</t>
  </si>
  <si>
    <t>A.8.24</t>
  </si>
  <si>
    <t>A.8.25</t>
  </si>
  <si>
    <t>A.8.26</t>
  </si>
  <si>
    <t>A.8.27</t>
  </si>
  <si>
    <t>A.8.28</t>
  </si>
  <si>
    <t>A.8.29</t>
  </si>
  <si>
    <t>A.8.30</t>
  </si>
  <si>
    <t>A.8.31</t>
  </si>
  <si>
    <t>A.8.32</t>
  </si>
  <si>
    <t>A.8.33</t>
  </si>
  <si>
    <t>A.8.34</t>
  </si>
  <si>
    <t>Information security roles and responsibilities</t>
  </si>
  <si>
    <t>Segregation of duties</t>
  </si>
  <si>
    <t>Contact with authorities</t>
  </si>
  <si>
    <t>Contact with special interest groups</t>
  </si>
  <si>
    <t>Access control</t>
  </si>
  <si>
    <t>Identity management</t>
  </si>
  <si>
    <t>Authentication information</t>
  </si>
  <si>
    <t>Inventory of information and other associated assets</t>
  </si>
  <si>
    <t>Return of assets</t>
  </si>
  <si>
    <t>Classification of information</t>
  </si>
  <si>
    <t>Labelling of information</t>
  </si>
  <si>
    <t>Information transfer</t>
  </si>
  <si>
    <t>Intellectual property rights</t>
  </si>
  <si>
    <t>ISO/IEC 27001:2022 Gap Assessment Master Checklist</t>
  </si>
  <si>
    <t>This workbook evaluates organizational compliance against ISO/IEC 27001:2022. It covers core requirements (Clauses 4–10) and Annex A Controls (A.5–A.8). Each sheet provides structured fields to record status, gaps, and corrective actions with priorities. Dropdowns and conditional formatting assist consistent scoring; the overall compliance percentage is auto-calculated.</t>
  </si>
  <si>
    <t>Sheet Overview</t>
  </si>
  <si>
    <t>Sheet Name</t>
  </si>
  <si>
    <t>Content Description</t>
  </si>
  <si>
    <t>Clauses 4–10</t>
  </si>
  <si>
    <t>Core ISMS requirements: context, leadership, planning, support, operation, performance, and improvement.</t>
  </si>
  <si>
    <t>Annex A – A.5 Organizational Controls</t>
  </si>
  <si>
    <t>37 controls on governance, policies, supplier security, and management responsibilities.</t>
  </si>
  <si>
    <t>Annex A – A.6 People Controls</t>
  </si>
  <si>
    <t>8 controls on awareness, education, training, and HR-related security responsibilities.</t>
  </si>
  <si>
    <t>Annex A – A.7 Physical Controls</t>
  </si>
  <si>
    <t>14 controls on physical and environmental protection of facilities and equipment.</t>
  </si>
  <si>
    <t>Annex A – A.8 Technological Controls</t>
  </si>
  <si>
    <t>34 controls on technical security such as access control, encryption, configuration, monitoring, and recovery.</t>
  </si>
  <si>
    <t>Identify internal and external issues affecting the ISMS scope and outcomes.</t>
  </si>
  <si>
    <t>Determine stakeholders and their information security requirements.</t>
  </si>
  <si>
    <t>Define ISMS boundaries, interfaces, and applicability.</t>
  </si>
  <si>
    <t>Establish, implement, maintain and continually improve the ISMS.</t>
  </si>
  <si>
    <t>Demonstrate top management commitment and integration with business processes.</t>
  </si>
  <si>
    <t>Establish, approve, communicate and maintain an information security policy.</t>
  </si>
  <si>
    <t>Assign and communicate responsibilities and authorities for information security.</t>
  </si>
  <si>
    <t>Plan actions to address risks/opportunities and integrate into ISMS processes.</t>
  </si>
  <si>
    <t>Define and apply a risk assessment method; maintain criteria and results.</t>
  </si>
  <si>
    <t>Select treatment options; determine controls; prepare SoA; implement plan.</t>
  </si>
  <si>
    <t>Set measurable objectives and plan how to achieve and evaluate them.</t>
  </si>
  <si>
    <t>Provide resources needed to establish, implement, maintain and improve the ISMS.</t>
  </si>
  <si>
    <t>Ensure people are competent based on education, training or experience.</t>
  </si>
  <si>
    <t>Ensure personnel are aware of policies, roles, and implications of nonconformity.</t>
  </si>
  <si>
    <t>Determine what, when, with whom and how to communicate information security matters.</t>
  </si>
  <si>
    <t>Create, update, and control documented information required by the ISMS and the standard.</t>
  </si>
  <si>
    <t>Plan, implement and control processes needed to meet ISMS requirements.</t>
  </si>
  <si>
    <t>Evaluate ISMS performance using defined methods and metrics.</t>
  </si>
  <si>
    <t>Plan and conduct periodic internal audits to verify conformity and effectiveness.</t>
  </si>
  <si>
    <t>Top management reviews ISMS performance and decisions at planned intervals.</t>
  </si>
  <si>
    <t>React to nonconformities and implement corrective actions; retain evidence.</t>
  </si>
  <si>
    <t>Continually improve the suitability, adequacy and effectiveness of the ISMS.</t>
  </si>
  <si>
    <t>Understanding the organization</t>
  </si>
  <si>
    <t>Understanding interested parties</t>
  </si>
  <si>
    <t>Determining the scope of the ISMS</t>
  </si>
  <si>
    <t>4.4</t>
  </si>
  <si>
    <t>ISMS</t>
  </si>
  <si>
    <t>Leadership and commitment</t>
  </si>
  <si>
    <t>Policy</t>
  </si>
  <si>
    <t>Organizational roles, responsibilities and authorities</t>
  </si>
  <si>
    <t>6.1</t>
  </si>
  <si>
    <t>Actions to address risks and opportunities</t>
  </si>
  <si>
    <t>Information security objectives and planning to achieve them</t>
  </si>
  <si>
    <t>7.1</t>
  </si>
  <si>
    <t>Resources</t>
  </si>
  <si>
    <t>7.5</t>
  </si>
  <si>
    <t>Documented information</t>
  </si>
  <si>
    <t>Clauses 4–10 define mandatory ISMS requirements. For each requirement, select status and priority, record observations, and actions.</t>
  </si>
  <si>
    <t>Policies for information security</t>
  </si>
  <si>
    <t>Define, approve, communicate and review information security policies.</t>
  </si>
  <si>
    <t>Define and assign roles and responsibilities for information security.</t>
  </si>
  <si>
    <t>Reduce risk of conflicting duties and prevent fraud or error.</t>
  </si>
  <si>
    <t>Management responsibilities</t>
  </si>
  <si>
    <t>Provide direction and support for information security.</t>
  </si>
  <si>
    <t>Maintain contact with relevant authorities on information security matters.</t>
  </si>
  <si>
    <t>Maintain contact with professional forums and interest groups.</t>
  </si>
  <si>
    <t>Threat intelligence</t>
  </si>
  <si>
    <t>Gather, analyze and act upon threat intelligence.</t>
  </si>
  <si>
    <t>Information security in project management</t>
  </si>
  <si>
    <t>Integrate information security into project management.</t>
  </si>
  <si>
    <t>Identify and maintain an inventory of information and assets.</t>
  </si>
  <si>
    <t>Acceptable use of information and associated assets</t>
  </si>
  <si>
    <t>Define rules for acceptable use of information and assets.</t>
  </si>
  <si>
    <t>Ensure assets are returned when employment or contract ends.</t>
  </si>
  <si>
    <t>Classify information according to value, legal requirements and sensitivity.</t>
  </si>
  <si>
    <t>Label information in accordance with the classification scheme.</t>
  </si>
  <si>
    <t>Transfer of information</t>
  </si>
  <si>
    <t>Protect information during transfer.</t>
  </si>
  <si>
    <t>Limit access to information and assets based on business needs.</t>
  </si>
  <si>
    <t>Manage identities throughout their lifecycle.</t>
  </si>
  <si>
    <t>Manage authentication information securely.</t>
  </si>
  <si>
    <t>Authorization</t>
  </si>
  <si>
    <t>Ensure authorized access to systems and services.</t>
  </si>
  <si>
    <t>Supplier security</t>
  </si>
  <si>
    <t>Manage information security in supplier relationships.</t>
  </si>
  <si>
    <t>Security requirements in supplier agreements</t>
  </si>
  <si>
    <t>Include security requirements in supplier contracts.</t>
  </si>
  <si>
    <t>ICT supply chain security</t>
  </si>
  <si>
    <t>Manage risks associated with the ICT supply chain.</t>
  </si>
  <si>
    <t>Supplier service monitoring and change management</t>
  </si>
  <si>
    <t>Monitor and review supplier services including changes.</t>
  </si>
  <si>
    <t>Cloud service security</t>
  </si>
  <si>
    <t>Ensure security requirements are addressed for cloud services.</t>
  </si>
  <si>
    <t>Incident management planning and preparation</t>
  </si>
  <si>
    <t>Establish and maintain incident management plan and readiness.</t>
  </si>
  <si>
    <t>Assessment and decision on information security events</t>
  </si>
  <si>
    <t>Assess events and decide whether they are incidents.</t>
  </si>
  <si>
    <t>Response to information security incidents</t>
  </si>
  <si>
    <t>Respond to incidents to mitigate impact.</t>
  </si>
  <si>
    <t>Learning from information security incidents</t>
  </si>
  <si>
    <t>Derive improvements based on incident analysis.</t>
  </si>
  <si>
    <t>Collection of evidence</t>
  </si>
  <si>
    <t>Collect and preserve evidence for potential actions.</t>
  </si>
  <si>
    <t>Information security during disruption</t>
  </si>
  <si>
    <t>Maintain information security during disruptions.</t>
  </si>
  <si>
    <t>ICT readiness for business continuity</t>
  </si>
  <si>
    <t>Ensure ICT can meet continuity requirements.</t>
  </si>
  <si>
    <t>Legal and regulatory requirements</t>
  </si>
  <si>
    <t>Identify, document and meet applicable requirements.</t>
  </si>
  <si>
    <t>Protect IPR and use of proprietary materials.</t>
  </si>
  <si>
    <t>Protection of records</t>
  </si>
  <si>
    <t>Protect records against loss, destruction and unauthorized access.</t>
  </si>
  <si>
    <t>Privacy and protection of PII</t>
  </si>
  <si>
    <t>Ensure privacy and protection of personally identifiable information.</t>
  </si>
  <si>
    <t>Independent review of information security</t>
  </si>
  <si>
    <t>Independent reviews ensure ISMS suitability and effectiveness.</t>
  </si>
  <si>
    <t>Compliance with policies and standards</t>
  </si>
  <si>
    <t>Ensure adherence to internal policies and standards.</t>
  </si>
  <si>
    <t>Documented operating procedures</t>
  </si>
  <si>
    <t>Document operating procedures for consistency and quality.</t>
  </si>
  <si>
    <t>Organizational controls (A.5.1–A.5.37): governance, policies, supplier security, compliance, and management responsibilities.</t>
  </si>
  <si>
    <t>Total</t>
  </si>
  <si>
    <t>Screening</t>
  </si>
  <si>
    <t>Perform lawful background checks proportional to the role.</t>
  </si>
  <si>
    <t>Information security awareness, education and training</t>
  </si>
  <si>
    <t>Provide regular, role-based training; keep attendance records.</t>
  </si>
  <si>
    <t>Disciplinary process</t>
  </si>
  <si>
    <t>Define and communicate disciplinary process for security violations.</t>
  </si>
  <si>
    <t>Responsibilities after termination or change</t>
  </si>
  <si>
    <t>Define and enforce post-termination responsibilities.</t>
  </si>
  <si>
    <t>Confidentiality or non-disclosure agreements</t>
  </si>
  <si>
    <t>Use NDAs to protect information.</t>
  </si>
  <si>
    <t>Remote working</t>
  </si>
  <si>
    <t>Define and enforce security for remote work.</t>
  </si>
  <si>
    <t>Event reporting by users</t>
  </si>
  <si>
    <t>Ensure users report observed or suspected security events.</t>
  </si>
  <si>
    <t>Information security in the HR lifecycle</t>
  </si>
  <si>
    <t>Integrate security across onboarding, change and offboarding.</t>
  </si>
  <si>
    <t>People controls (A.6.1–A.6.8): awareness, competence, HR lifecycle, and disciplinary processes.</t>
  </si>
  <si>
    <t>Physical security roles and responsibilities</t>
  </si>
  <si>
    <t>Assign responsibilities for physical security.</t>
  </si>
  <si>
    <t>Physical entry controls</t>
  </si>
  <si>
    <t>Control access to secure areas via appropriate entry controls.</t>
  </si>
  <si>
    <t>Securing offices, rooms and facilities</t>
  </si>
  <si>
    <t>Protect against unauthorized access and environmental risks.</t>
  </si>
  <si>
    <t>Physical security monitoring</t>
  </si>
  <si>
    <t>Monitor physical access and security systems.</t>
  </si>
  <si>
    <t>Protection against physical and environmental threats</t>
  </si>
  <si>
    <t>Design and apply protection against threats (fire, flood, power).</t>
  </si>
  <si>
    <t>Working in secure areas</t>
  </si>
  <si>
    <t>Define rules for working in and around secure areas.</t>
  </si>
  <si>
    <t>Clear desk and clear screen</t>
  </si>
  <si>
    <t>Maintain clear desk/screen practices to prevent exposure.</t>
  </si>
  <si>
    <t>Equipment siting and protection</t>
  </si>
  <si>
    <t>Place and protect equipment to reduce risks and hazards.</t>
  </si>
  <si>
    <t>Security of assets off-premises</t>
  </si>
  <si>
    <t>Protect assets taken off-site.</t>
  </si>
  <si>
    <t>Storage media</t>
  </si>
  <si>
    <t>Manage storage media securely across lifecycle.</t>
  </si>
  <si>
    <t>Supporting utilities</t>
  </si>
  <si>
    <t>Protect and ensure availability of utilities.</t>
  </si>
  <si>
    <t>Cabling security</t>
  </si>
  <si>
    <t>Protect power and telecommunications cabling.</t>
  </si>
  <si>
    <t>Equipment maintenance</t>
  </si>
  <si>
    <t>Maintain equipment correctly and securely.</t>
  </si>
  <si>
    <t>Secure disposal or re-use of equipment</t>
  </si>
  <si>
    <t>Sanitize data before disposal or re-use.</t>
  </si>
  <si>
    <t>User identification and authentication</t>
  </si>
  <si>
    <t>Implement strong identification and authentication (e.g., MFA).</t>
  </si>
  <si>
    <t>Privileged access management</t>
  </si>
  <si>
    <t>Restrict and monitor privileged access; enforce least privilege.</t>
  </si>
  <si>
    <t>Use of secret authentication information</t>
  </si>
  <si>
    <t>Protect and manage passwords/keys securely.</t>
  </si>
  <si>
    <t>Access provisioning</t>
  </si>
  <si>
    <t>Provision, review and revoke access based on need-to-know.</t>
  </si>
  <si>
    <t>Removal or adjustment of access rights</t>
  </si>
  <si>
    <t>Remove or adjust access promptly on role change or exit.</t>
  </si>
  <si>
    <t>Vulnerability management</t>
  </si>
  <si>
    <t>Identify, assess and remediate vulnerabilities on a defined cadence.</t>
  </si>
  <si>
    <t>Perform backups and periodically test restores.</t>
  </si>
  <si>
    <t>Logging</t>
  </si>
  <si>
    <t>Generate, protect and retain security-relevant logs.</t>
  </si>
  <si>
    <t>Security testing</t>
  </si>
  <si>
    <t>Plan and execute security testing (e.g., penetration tests).</t>
  </si>
  <si>
    <t>Change management</t>
  </si>
  <si>
    <t>Authorize and document changes to systems and services.</t>
  </si>
  <si>
    <t>Capacity management</t>
  </si>
  <si>
    <t>Monitor and plan capacity to meet performance needs.</t>
  </si>
  <si>
    <t>Protection against malware</t>
  </si>
  <si>
    <t>Implement anti-malware controls and user awareness.</t>
  </si>
  <si>
    <t>Data masking and anonymization</t>
  </si>
  <si>
    <t>Apply masking/anonymization where appropriate.</t>
  </si>
  <si>
    <t>Data leakage prevention</t>
  </si>
  <si>
    <t>Deploy DLP measures to prevent unauthorized disclosure.</t>
  </si>
  <si>
    <t>Web filtering and email security</t>
  </si>
  <si>
    <t>Filter web/email to reduce phishing and malicious content.</t>
  </si>
  <si>
    <t>Network security</t>
  </si>
  <si>
    <t>Segment networks and secure communications.</t>
  </si>
  <si>
    <t>Cryptographic controls</t>
  </si>
  <si>
    <t>Use cryptography appropriately and manage keys securely.</t>
  </si>
  <si>
    <t>Configuration management</t>
  </si>
  <si>
    <t>Harden systems and maintain secure baselines.</t>
  </si>
  <si>
    <t>Monitoring activities</t>
  </si>
  <si>
    <t>Monitor systems and services for security events.</t>
  </si>
  <si>
    <t>Clock synchronization</t>
  </si>
  <si>
    <t>Synchronize system clocks for accurate logs and forensics.</t>
  </si>
  <si>
    <t>Application security requirements</t>
  </si>
  <si>
    <t>Define and apply security requirements throughout SDLC.</t>
  </si>
  <si>
    <t>Secure coding</t>
  </si>
  <si>
    <t>Adopt secure coding practices and reviews.</t>
  </si>
  <si>
    <t>System acquisition, development and maintenance</t>
  </si>
  <si>
    <t>Include security in acquisition and life-cycle activities.</t>
  </si>
  <si>
    <t>Protect information in transit using appropriate controls.</t>
  </si>
  <si>
    <t>Use of cryptographic keys</t>
  </si>
  <si>
    <t>Generate, store, rotate and revoke keys securely.</t>
  </si>
  <si>
    <t>Endpoint security</t>
  </si>
  <si>
    <t>Protect endpoints (EDR/AV, patching, hardening).</t>
  </si>
  <si>
    <t>Secure disposal of data</t>
  </si>
  <si>
    <t>Sanitize data securely when no longer needed.</t>
  </si>
  <si>
    <t>Vulnerability disclosure</t>
  </si>
  <si>
    <t>Define process to receive and handle vulnerability reports.</t>
  </si>
  <si>
    <t>Technical compliance review</t>
  </si>
  <si>
    <t>Review configurations against policies/standards.</t>
  </si>
  <si>
    <t>Network services security</t>
  </si>
  <si>
    <t>Secure DNS, DHCP and other network services.</t>
  </si>
  <si>
    <t>Cloud service security configuration</t>
  </si>
  <si>
    <t>Establish and monitor secure cloud configurations.</t>
  </si>
  <si>
    <t>Mobile device management</t>
  </si>
  <si>
    <t>Control security for mobile devices and BYOD.</t>
  </si>
  <si>
    <t>System recovery and restoration</t>
  </si>
  <si>
    <t>Plan and test recovery to meet RTO/RPO.</t>
  </si>
  <si>
    <t>Change monitoring and rollback</t>
  </si>
  <si>
    <t>Track changes and enable rollback to stable states.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</si>
</sst>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20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0" fontId="4" fillId="0" borderId="2" xfId="0" applyFont="1" applyBorder="1"/>
    <xf numFmtId="0" fontId="5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top" wrapText="1"/>
    </xf>
    <xf numFmtId="0" fontId="5" fillId="0" borderId="1" xfId="0" applyFont="1" applyBorder="1"/>
    <xf numFmtId="0" fontId="4" fillId="0" borderId="1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top" wrapText="1"/>
    </xf>
    <xf numFmtId="0" fontId="7" fillId="0" borderId="0" xfId="0" applyFont="1"/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8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31">
    <dxf>
      <fill>
        <patternFill>
          <bgColor rgb="FFFF5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>
          <bgColor rgb="FFFF5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>
          <bgColor rgb="FFFF5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>
          <bgColor rgb="FFFF5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>
          <bgColor rgb="FFFF5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mruColors>
      <color rgb="FF66FF33"/>
      <color rgb="FFFF505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opLeftCell="A8" zoomScale="73" zoomScaleNormal="70" workbookViewId="0">
      <selection activeCell="F22" sqref="F22"/>
    </sheetView>
  </sheetViews>
  <sheetFormatPr defaultRowHeight="13.8" x14ac:dyDescent="0.25"/>
  <cols>
    <col min="1" max="1" width="8.88671875" style="5" customWidth="1"/>
    <col min="2" max="2" width="28.77734375" style="5" customWidth="1"/>
    <col min="3" max="3" width="51.33203125" style="5" customWidth="1"/>
    <col min="4" max="4" width="10.5546875" style="5" customWidth="1"/>
    <col min="5" max="5" width="25.109375" style="5" customWidth="1"/>
    <col min="6" max="6" width="31.88671875" style="5" customWidth="1"/>
    <col min="7" max="16384" width="8.88671875" style="5"/>
  </cols>
  <sheetData>
    <row r="1" spans="1:6" x14ac:dyDescent="0.25">
      <c r="A1" s="25" t="s">
        <v>164</v>
      </c>
      <c r="B1" s="26"/>
      <c r="C1" s="26"/>
      <c r="D1" s="26"/>
      <c r="E1" s="26"/>
      <c r="F1" s="26"/>
    </row>
    <row r="3" spans="1:6" x14ac:dyDescent="0.25">
      <c r="A3" s="27" t="s">
        <v>165</v>
      </c>
      <c r="B3" s="27"/>
      <c r="C3" s="27"/>
      <c r="D3" s="27"/>
      <c r="E3" s="27"/>
      <c r="F3" s="27"/>
    </row>
    <row r="4" spans="1:6" x14ac:dyDescent="0.25">
      <c r="A4" s="27"/>
      <c r="B4" s="27"/>
      <c r="C4" s="27"/>
      <c r="D4" s="27"/>
      <c r="E4" s="27"/>
      <c r="F4" s="27"/>
    </row>
    <row r="5" spans="1:6" x14ac:dyDescent="0.25">
      <c r="A5" s="27"/>
      <c r="B5" s="27"/>
      <c r="C5" s="27"/>
      <c r="D5" s="27"/>
      <c r="E5" s="27"/>
      <c r="F5" s="27"/>
    </row>
    <row r="9" spans="1:6" x14ac:dyDescent="0.25">
      <c r="A9" s="6"/>
      <c r="B9" s="5" t="s">
        <v>166</v>
      </c>
    </row>
    <row r="11" spans="1:6" x14ac:dyDescent="0.25">
      <c r="B11" s="8" t="s">
        <v>167</v>
      </c>
      <c r="C11" s="8" t="s">
        <v>168</v>
      </c>
    </row>
    <row r="12" spans="1:6" ht="33.6" customHeight="1" x14ac:dyDescent="0.25">
      <c r="B12" s="9" t="s">
        <v>169</v>
      </c>
      <c r="C12" s="10" t="s">
        <v>170</v>
      </c>
    </row>
    <row r="13" spans="1:6" ht="37.200000000000003" customHeight="1" x14ac:dyDescent="0.25">
      <c r="B13" s="9" t="s">
        <v>171</v>
      </c>
      <c r="C13" s="10" t="s">
        <v>172</v>
      </c>
    </row>
    <row r="14" spans="1:6" ht="34.799999999999997" customHeight="1" x14ac:dyDescent="0.25">
      <c r="B14" s="9" t="s">
        <v>173</v>
      </c>
      <c r="C14" s="10" t="s">
        <v>174</v>
      </c>
    </row>
    <row r="15" spans="1:6" ht="35.4" customHeight="1" x14ac:dyDescent="0.25">
      <c r="B15" s="9" t="s">
        <v>175</v>
      </c>
      <c r="C15" s="10" t="s">
        <v>176</v>
      </c>
    </row>
    <row r="16" spans="1:6" ht="34.200000000000003" customHeight="1" x14ac:dyDescent="0.25">
      <c r="B16" s="9" t="s">
        <v>177</v>
      </c>
      <c r="C16" s="10" t="s">
        <v>178</v>
      </c>
    </row>
    <row r="27" spans="2:3" ht="28.8" customHeight="1" x14ac:dyDescent="0.25">
      <c r="B27" s="28" t="s">
        <v>0</v>
      </c>
      <c r="C27" s="29"/>
    </row>
    <row r="28" spans="2:3" x14ac:dyDescent="0.25">
      <c r="B28" s="11" t="s">
        <v>1</v>
      </c>
      <c r="C28" s="12" t="s">
        <v>2</v>
      </c>
    </row>
    <row r="29" spans="2:3" x14ac:dyDescent="0.25">
      <c r="B29" s="11" t="s">
        <v>3</v>
      </c>
      <c r="C29" s="12" t="s">
        <v>4</v>
      </c>
    </row>
    <row r="30" spans="2:3" x14ac:dyDescent="0.25">
      <c r="B30" s="11" t="s">
        <v>5</v>
      </c>
      <c r="C30" s="12"/>
    </row>
    <row r="31" spans="2:3" x14ac:dyDescent="0.25">
      <c r="B31" s="11" t="s">
        <v>6</v>
      </c>
      <c r="C31" s="12"/>
    </row>
  </sheetData>
  <mergeCells count="3">
    <mergeCell ref="A1:F1"/>
    <mergeCell ref="A3:F5"/>
    <mergeCell ref="B27:C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3"/>
  <sheetData>
    <row r="1" spans="1:2" x14ac:dyDescent="0.3">
      <c r="A1" t="s">
        <v>7</v>
      </c>
      <c r="B1" t="s">
        <v>8</v>
      </c>
    </row>
    <row r="2" spans="1:2" x14ac:dyDescent="0.3">
      <c r="A2" t="s">
        <v>9</v>
      </c>
      <c r="B2" t="s">
        <v>10</v>
      </c>
    </row>
    <row r="3" spans="1:2" x14ac:dyDescent="0.3">
      <c r="A3" t="s">
        <v>11</v>
      </c>
      <c r="B3" t="s">
        <v>12</v>
      </c>
    </row>
    <row r="4" spans="1:2" x14ac:dyDescent="0.3">
      <c r="A4" t="s">
        <v>13</v>
      </c>
      <c r="B4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tabSelected="1" zoomScale="38" zoomScaleNormal="38" workbookViewId="0">
      <selection activeCell="G5" sqref="G5"/>
    </sheetView>
  </sheetViews>
  <sheetFormatPr defaultRowHeight="14.4" x14ac:dyDescent="0.3"/>
  <cols>
    <col min="1" max="1" width="12" customWidth="1"/>
    <col min="2" max="3" width="34" customWidth="1"/>
    <col min="4" max="4" width="16" customWidth="1"/>
    <col min="5" max="6" width="42" customWidth="1"/>
    <col min="7" max="7" width="12" customWidth="1"/>
    <col min="8" max="8" width="20" customWidth="1"/>
    <col min="9" max="9" width="13" hidden="1" customWidth="1"/>
  </cols>
  <sheetData>
    <row r="1" spans="1:9" x14ac:dyDescent="0.3">
      <c r="A1" s="30" t="s">
        <v>216</v>
      </c>
      <c r="B1" s="30"/>
      <c r="C1" s="30"/>
      <c r="D1" s="30"/>
      <c r="E1" s="30"/>
      <c r="F1" s="30"/>
      <c r="G1" s="30"/>
      <c r="H1" s="30"/>
    </row>
    <row r="2" spans="1:9" x14ac:dyDescent="0.3">
      <c r="A2" s="30"/>
      <c r="B2" s="30"/>
      <c r="C2" s="30"/>
      <c r="D2" s="30"/>
      <c r="E2" s="30"/>
      <c r="F2" s="30"/>
      <c r="G2" s="30"/>
      <c r="H2" s="30"/>
    </row>
    <row r="4" spans="1:9" ht="50.4" customHeight="1" x14ac:dyDescent="0.3">
      <c r="A4" s="13" t="s">
        <v>15</v>
      </c>
      <c r="B4" s="14" t="s">
        <v>16</v>
      </c>
      <c r="C4" s="15" t="s">
        <v>17</v>
      </c>
      <c r="D4" s="13" t="s">
        <v>18</v>
      </c>
      <c r="E4" s="14" t="s">
        <v>19</v>
      </c>
      <c r="F4" s="14" t="s">
        <v>20</v>
      </c>
      <c r="G4" s="13" t="s">
        <v>21</v>
      </c>
      <c r="H4" s="13" t="s">
        <v>22</v>
      </c>
      <c r="I4" s="1" t="s">
        <v>23</v>
      </c>
    </row>
    <row r="5" spans="1:9" ht="43.2" x14ac:dyDescent="0.3">
      <c r="A5" s="3" t="s">
        <v>24</v>
      </c>
      <c r="B5" s="4" t="s">
        <v>201</v>
      </c>
      <c r="C5" s="4" t="s">
        <v>179</v>
      </c>
      <c r="D5" s="22"/>
      <c r="E5" s="4"/>
      <c r="F5" s="4"/>
      <c r="G5" s="22"/>
      <c r="H5" s="3">
        <f t="shared" ref="H5:H26" si="0">IF(D5="Met",1,IF(D5="Partial",0.5,IF(D5="Not Met",0,)))</f>
        <v>0</v>
      </c>
      <c r="I5">
        <f>IFERROR(AVERAGE(H5:H22),0)</f>
        <v>0</v>
      </c>
    </row>
    <row r="6" spans="1:9" ht="28.8" x14ac:dyDescent="0.3">
      <c r="A6" s="3" t="s">
        <v>25</v>
      </c>
      <c r="B6" s="4" t="s">
        <v>202</v>
      </c>
      <c r="C6" s="4" t="s">
        <v>180</v>
      </c>
      <c r="D6" s="22"/>
      <c r="E6" s="4"/>
      <c r="F6" s="4"/>
      <c r="G6" s="22"/>
      <c r="H6" s="3">
        <f t="shared" si="0"/>
        <v>0</v>
      </c>
    </row>
    <row r="7" spans="1:9" ht="28.8" x14ac:dyDescent="0.3">
      <c r="A7" s="3" t="s">
        <v>26</v>
      </c>
      <c r="B7" s="4" t="s">
        <v>203</v>
      </c>
      <c r="C7" s="4" t="s">
        <v>181</v>
      </c>
      <c r="D7" s="22"/>
      <c r="E7" s="4"/>
      <c r="F7" s="4"/>
      <c r="G7" s="22"/>
      <c r="H7" s="3">
        <f t="shared" si="0"/>
        <v>0</v>
      </c>
    </row>
    <row r="8" spans="1:9" ht="28.8" x14ac:dyDescent="0.3">
      <c r="A8" s="3" t="s">
        <v>204</v>
      </c>
      <c r="B8" s="4" t="s">
        <v>205</v>
      </c>
      <c r="C8" s="4" t="s">
        <v>182</v>
      </c>
      <c r="D8" s="22"/>
      <c r="E8" s="4"/>
      <c r="F8" s="4"/>
      <c r="G8" s="22"/>
      <c r="H8" s="3">
        <f t="shared" si="0"/>
        <v>0</v>
      </c>
    </row>
    <row r="9" spans="1:9" ht="43.2" x14ac:dyDescent="0.3">
      <c r="A9" s="3" t="s">
        <v>27</v>
      </c>
      <c r="B9" s="4" t="s">
        <v>206</v>
      </c>
      <c r="C9" s="4" t="s">
        <v>183</v>
      </c>
      <c r="D9" s="22"/>
      <c r="E9" s="4"/>
      <c r="F9" s="4"/>
      <c r="G9" s="22"/>
      <c r="H9" s="3">
        <f t="shared" si="0"/>
        <v>0</v>
      </c>
    </row>
    <row r="10" spans="1:9" ht="28.8" x14ac:dyDescent="0.3">
      <c r="A10" s="3" t="s">
        <v>28</v>
      </c>
      <c r="B10" s="4" t="s">
        <v>207</v>
      </c>
      <c r="C10" s="4" t="s">
        <v>184</v>
      </c>
      <c r="D10" s="22"/>
      <c r="E10" s="4"/>
      <c r="F10" s="4"/>
      <c r="G10" s="22"/>
      <c r="H10" s="3">
        <f t="shared" si="0"/>
        <v>0</v>
      </c>
    </row>
    <row r="11" spans="1:9" ht="43.2" x14ac:dyDescent="0.3">
      <c r="A11" s="3" t="s">
        <v>29</v>
      </c>
      <c r="B11" s="4" t="s">
        <v>208</v>
      </c>
      <c r="C11" s="4" t="s">
        <v>185</v>
      </c>
      <c r="D11" s="22"/>
      <c r="E11" s="4"/>
      <c r="F11" s="4"/>
      <c r="G11" s="22"/>
      <c r="H11" s="3">
        <f t="shared" si="0"/>
        <v>0</v>
      </c>
    </row>
    <row r="12" spans="1:9" ht="43.2" x14ac:dyDescent="0.3">
      <c r="A12" s="3" t="s">
        <v>209</v>
      </c>
      <c r="B12" s="4" t="s">
        <v>210</v>
      </c>
      <c r="C12" s="4" t="s">
        <v>186</v>
      </c>
      <c r="D12" s="22"/>
      <c r="E12" s="4"/>
      <c r="F12" s="4"/>
      <c r="G12" s="22"/>
      <c r="H12" s="3">
        <f t="shared" si="0"/>
        <v>0</v>
      </c>
    </row>
    <row r="13" spans="1:9" ht="28.8" x14ac:dyDescent="0.3">
      <c r="A13" s="3" t="s">
        <v>30</v>
      </c>
      <c r="B13" s="4" t="s">
        <v>31</v>
      </c>
      <c r="C13" s="4" t="s">
        <v>187</v>
      </c>
      <c r="D13" s="22"/>
      <c r="E13" s="4"/>
      <c r="F13" s="4"/>
      <c r="G13" s="22"/>
      <c r="H13" s="3">
        <f t="shared" si="0"/>
        <v>0</v>
      </c>
    </row>
    <row r="14" spans="1:9" ht="28.8" x14ac:dyDescent="0.3">
      <c r="A14" s="3" t="s">
        <v>32</v>
      </c>
      <c r="B14" s="4" t="s">
        <v>33</v>
      </c>
      <c r="C14" s="4" t="s">
        <v>188</v>
      </c>
      <c r="D14" s="22"/>
      <c r="E14" s="4"/>
      <c r="F14" s="4"/>
      <c r="G14" s="22"/>
      <c r="H14" s="3">
        <f t="shared" si="0"/>
        <v>0</v>
      </c>
    </row>
    <row r="15" spans="1:9" ht="28.8" x14ac:dyDescent="0.3">
      <c r="A15" s="3" t="s">
        <v>34</v>
      </c>
      <c r="B15" s="4" t="s">
        <v>211</v>
      </c>
      <c r="C15" s="4" t="s">
        <v>189</v>
      </c>
      <c r="D15" s="22"/>
      <c r="E15" s="4"/>
      <c r="F15" s="4"/>
      <c r="G15" s="22"/>
      <c r="H15" s="3">
        <f t="shared" si="0"/>
        <v>0</v>
      </c>
    </row>
    <row r="16" spans="1:9" ht="43.2" x14ac:dyDescent="0.3">
      <c r="A16" s="3" t="s">
        <v>212</v>
      </c>
      <c r="B16" s="4" t="s">
        <v>213</v>
      </c>
      <c r="C16" s="4" t="s">
        <v>190</v>
      </c>
      <c r="D16" s="22"/>
      <c r="E16" s="4"/>
      <c r="F16" s="4"/>
      <c r="G16" s="22"/>
      <c r="H16" s="3">
        <f t="shared" si="0"/>
        <v>0</v>
      </c>
    </row>
    <row r="17" spans="1:8" ht="28.8" x14ac:dyDescent="0.3">
      <c r="A17" s="3" t="s">
        <v>35</v>
      </c>
      <c r="B17" s="4" t="s">
        <v>36</v>
      </c>
      <c r="C17" s="4" t="s">
        <v>191</v>
      </c>
      <c r="D17" s="22"/>
      <c r="E17" s="4"/>
      <c r="F17" s="4"/>
      <c r="G17" s="22"/>
      <c r="H17" s="3">
        <f t="shared" si="0"/>
        <v>0</v>
      </c>
    </row>
    <row r="18" spans="1:8" ht="43.2" x14ac:dyDescent="0.3">
      <c r="A18" s="3" t="s">
        <v>37</v>
      </c>
      <c r="B18" s="4" t="s">
        <v>38</v>
      </c>
      <c r="C18" s="4" t="s">
        <v>192</v>
      </c>
      <c r="D18" s="22"/>
      <c r="E18" s="4"/>
      <c r="F18" s="4"/>
      <c r="G18" s="22"/>
      <c r="H18" s="3">
        <f t="shared" si="0"/>
        <v>0</v>
      </c>
    </row>
    <row r="19" spans="1:8" ht="43.2" x14ac:dyDescent="0.3">
      <c r="A19" s="3" t="s">
        <v>39</v>
      </c>
      <c r="B19" s="4" t="s">
        <v>40</v>
      </c>
      <c r="C19" s="4" t="s">
        <v>193</v>
      </c>
      <c r="D19" s="22"/>
      <c r="E19" s="4"/>
      <c r="F19" s="4"/>
      <c r="G19" s="22"/>
      <c r="H19" s="3">
        <f t="shared" si="0"/>
        <v>0</v>
      </c>
    </row>
    <row r="20" spans="1:8" ht="43.2" x14ac:dyDescent="0.3">
      <c r="A20" s="3" t="s">
        <v>214</v>
      </c>
      <c r="B20" s="4" t="s">
        <v>215</v>
      </c>
      <c r="C20" s="4" t="s">
        <v>194</v>
      </c>
      <c r="D20" s="22"/>
      <c r="E20" s="4"/>
      <c r="F20" s="4"/>
      <c r="G20" s="22"/>
      <c r="H20" s="3">
        <f t="shared" si="0"/>
        <v>0</v>
      </c>
    </row>
    <row r="21" spans="1:8" ht="28.8" x14ac:dyDescent="0.3">
      <c r="A21" s="3" t="s">
        <v>41</v>
      </c>
      <c r="B21" s="4" t="s">
        <v>42</v>
      </c>
      <c r="C21" s="4" t="s">
        <v>195</v>
      </c>
      <c r="D21" s="22"/>
      <c r="E21" s="4"/>
      <c r="F21" s="4"/>
      <c r="G21" s="22"/>
      <c r="H21" s="3">
        <f t="shared" si="0"/>
        <v>0</v>
      </c>
    </row>
    <row r="22" spans="1:8" ht="28.8" x14ac:dyDescent="0.3">
      <c r="A22" s="3" t="s">
        <v>43</v>
      </c>
      <c r="B22" s="4" t="s">
        <v>44</v>
      </c>
      <c r="C22" s="4" t="s">
        <v>196</v>
      </c>
      <c r="D22" s="22"/>
      <c r="E22" s="4"/>
      <c r="F22" s="4"/>
      <c r="G22" s="22"/>
      <c r="H22" s="3">
        <f t="shared" si="0"/>
        <v>0</v>
      </c>
    </row>
    <row r="23" spans="1:8" ht="43.2" x14ac:dyDescent="0.3">
      <c r="A23" s="3" t="s">
        <v>45</v>
      </c>
      <c r="B23" s="4" t="s">
        <v>46</v>
      </c>
      <c r="C23" s="4" t="s">
        <v>197</v>
      </c>
      <c r="D23" s="22"/>
      <c r="E23" s="2"/>
      <c r="F23" s="2"/>
      <c r="G23" s="22"/>
      <c r="H23" s="3">
        <f t="shared" si="0"/>
        <v>0</v>
      </c>
    </row>
    <row r="24" spans="1:8" ht="43.2" x14ac:dyDescent="0.3">
      <c r="A24" s="3" t="s">
        <v>47</v>
      </c>
      <c r="B24" s="4" t="s">
        <v>48</v>
      </c>
      <c r="C24" s="4" t="s">
        <v>198</v>
      </c>
      <c r="D24" s="22"/>
      <c r="E24" s="2"/>
      <c r="F24" s="2"/>
      <c r="G24" s="22"/>
      <c r="H24" s="3">
        <f t="shared" si="0"/>
        <v>0</v>
      </c>
    </row>
    <row r="25" spans="1:8" ht="43.2" x14ac:dyDescent="0.3">
      <c r="A25" s="3" t="s">
        <v>49</v>
      </c>
      <c r="B25" s="4" t="s">
        <v>50</v>
      </c>
      <c r="C25" s="4" t="s">
        <v>199</v>
      </c>
      <c r="D25" s="22"/>
      <c r="E25" s="2"/>
      <c r="F25" s="2"/>
      <c r="G25" s="22"/>
      <c r="H25" s="3">
        <f t="shared" si="0"/>
        <v>0</v>
      </c>
    </row>
    <row r="26" spans="1:8" ht="43.2" x14ac:dyDescent="0.3">
      <c r="A26" s="3" t="s">
        <v>51</v>
      </c>
      <c r="B26" s="4" t="s">
        <v>52</v>
      </c>
      <c r="C26" s="4" t="s">
        <v>200</v>
      </c>
      <c r="D26" s="22"/>
      <c r="E26" s="2"/>
      <c r="F26" s="2"/>
      <c r="G26" s="22"/>
      <c r="H26" s="3">
        <f t="shared" si="0"/>
        <v>0</v>
      </c>
    </row>
  </sheetData>
  <mergeCells count="1">
    <mergeCell ref="A1:H2"/>
  </mergeCells>
  <conditionalFormatting sqref="D5:D26">
    <cfRule type="expression" dxfId="30" priority="1">
      <formula>INDIRECT("D"&amp;ROW())="Met"</formula>
    </cfRule>
    <cfRule type="expression" dxfId="29" priority="2">
      <formula>INDIRECT("D"&amp;ROW())="Partial"</formula>
    </cfRule>
    <cfRule type="expression" dxfId="28" priority="3">
      <formula>INDIRECT("D"&amp;ROW())="Not Met"</formula>
    </cfRule>
  </conditionalFormatting>
  <conditionalFormatting sqref="G5:G26">
    <cfRule type="expression" dxfId="27" priority="7">
      <formula>$G5="Low"</formula>
    </cfRule>
    <cfRule type="expression" dxfId="26" priority="8">
      <formula>$G5="Medium"</formula>
    </cfRule>
    <cfRule type="expression" dxfId="25" priority="9">
      <formula>$G5="High"</formula>
    </cfRule>
  </conditionalFormatting>
  <dataValidations count="2">
    <dataValidation type="list" allowBlank="1" showInputMessage="1" showErrorMessage="1" sqref="D5:D26" xr:uid="{B34FF359-EA6D-4F46-A4DC-76C772A1BFB2}">
      <formula1>StatusList</formula1>
    </dataValidation>
    <dataValidation type="list" allowBlank="1" showInputMessage="1" showErrorMessage="1" sqref="G1:G1048576" xr:uid="{00000000-0002-0000-0200-000001000000}">
      <formula1>PriorityList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3"/>
  <sheetViews>
    <sheetView topLeftCell="B23" zoomScale="52" zoomScaleNormal="100" workbookViewId="0">
      <selection activeCell="E9" sqref="E9"/>
    </sheetView>
  </sheetViews>
  <sheetFormatPr defaultRowHeight="14.4" x14ac:dyDescent="0.3"/>
  <cols>
    <col min="1" max="1" width="14" customWidth="1"/>
    <col min="2" max="2" width="36" customWidth="1"/>
    <col min="3" max="3" width="44" customWidth="1"/>
    <col min="4" max="4" width="16" customWidth="1"/>
    <col min="5" max="6" width="44" customWidth="1"/>
    <col min="7" max="7" width="12" customWidth="1"/>
    <col min="8" max="8" width="20" customWidth="1"/>
    <col min="9" max="9" width="13" hidden="1" customWidth="1"/>
    <col min="10" max="10" width="13.109375" customWidth="1"/>
  </cols>
  <sheetData>
    <row r="1" spans="1:9" ht="49.8" customHeight="1" x14ac:dyDescent="0.4">
      <c r="A1" s="31" t="s">
        <v>279</v>
      </c>
      <c r="B1" s="32"/>
      <c r="C1" s="32"/>
      <c r="D1" s="32"/>
      <c r="E1" s="32"/>
      <c r="F1" s="32"/>
      <c r="G1" s="32"/>
      <c r="H1" s="32"/>
    </row>
    <row r="3" spans="1:9" ht="31.2" x14ac:dyDescent="0.3">
      <c r="A3" s="17" t="s">
        <v>53</v>
      </c>
      <c r="B3" s="18" t="s">
        <v>54</v>
      </c>
      <c r="C3" s="18" t="s">
        <v>55</v>
      </c>
      <c r="D3" s="17" t="s">
        <v>18</v>
      </c>
      <c r="E3" s="18" t="s">
        <v>56</v>
      </c>
      <c r="F3" s="18" t="s">
        <v>20</v>
      </c>
      <c r="G3" s="17" t="s">
        <v>21</v>
      </c>
      <c r="H3" s="17" t="s">
        <v>22</v>
      </c>
      <c r="I3" s="19" t="s">
        <v>23</v>
      </c>
    </row>
    <row r="4" spans="1:9" ht="31.2" x14ac:dyDescent="0.3">
      <c r="A4" s="20" t="s">
        <v>57</v>
      </c>
      <c r="B4" s="21" t="s">
        <v>217</v>
      </c>
      <c r="C4" s="21" t="s">
        <v>218</v>
      </c>
      <c r="D4" s="22"/>
      <c r="E4" s="23"/>
      <c r="F4" s="23"/>
      <c r="G4" s="22"/>
      <c r="H4" s="22">
        <f t="shared" ref="H4:H35" si="0">IF(D4="Met",1,IF(D4="Partial",0.5,IF(D4="Not Met",0,)))</f>
        <v>0</v>
      </c>
      <c r="I4" s="24">
        <f>IFERROR(AVERAGE(H4:H40),0)</f>
        <v>0</v>
      </c>
    </row>
    <row r="5" spans="1:9" ht="31.2" x14ac:dyDescent="0.3">
      <c r="A5" s="20" t="s">
        <v>58</v>
      </c>
      <c r="B5" s="21" t="s">
        <v>151</v>
      </c>
      <c r="C5" s="21" t="s">
        <v>219</v>
      </c>
      <c r="D5" s="22"/>
      <c r="E5" s="23"/>
      <c r="F5" s="23"/>
      <c r="G5" s="22"/>
      <c r="H5" s="22">
        <f t="shared" si="0"/>
        <v>0</v>
      </c>
      <c r="I5" s="24"/>
    </row>
    <row r="6" spans="1:9" ht="31.2" x14ac:dyDescent="0.3">
      <c r="A6" s="20" t="s">
        <v>59</v>
      </c>
      <c r="B6" s="21" t="s">
        <v>152</v>
      </c>
      <c r="C6" s="21" t="s">
        <v>220</v>
      </c>
      <c r="D6" s="22"/>
      <c r="E6" s="23"/>
      <c r="F6" s="23"/>
      <c r="G6" s="22"/>
      <c r="H6" s="22">
        <f t="shared" si="0"/>
        <v>0</v>
      </c>
      <c r="I6" s="24"/>
    </row>
    <row r="7" spans="1:9" ht="31.2" x14ac:dyDescent="0.3">
      <c r="A7" s="20" t="s">
        <v>60</v>
      </c>
      <c r="B7" s="21" t="s">
        <v>221</v>
      </c>
      <c r="C7" s="21" t="s">
        <v>222</v>
      </c>
      <c r="D7" s="22"/>
      <c r="E7" s="23"/>
      <c r="F7" s="23"/>
      <c r="G7" s="22"/>
      <c r="H7" s="22">
        <f t="shared" si="0"/>
        <v>0</v>
      </c>
      <c r="I7" s="24"/>
    </row>
    <row r="8" spans="1:9" ht="31.2" x14ac:dyDescent="0.3">
      <c r="A8" s="20" t="s">
        <v>61</v>
      </c>
      <c r="B8" s="21" t="s">
        <v>153</v>
      </c>
      <c r="C8" s="21" t="s">
        <v>223</v>
      </c>
      <c r="D8" s="22"/>
      <c r="E8" s="23"/>
      <c r="F8" s="23"/>
      <c r="G8" s="22"/>
      <c r="H8" s="22">
        <f t="shared" si="0"/>
        <v>0</v>
      </c>
      <c r="I8" s="24"/>
    </row>
    <row r="9" spans="1:9" ht="31.2" x14ac:dyDescent="0.3">
      <c r="A9" s="20" t="s">
        <v>62</v>
      </c>
      <c r="B9" s="21" t="s">
        <v>154</v>
      </c>
      <c r="C9" s="21" t="s">
        <v>224</v>
      </c>
      <c r="D9" s="22"/>
      <c r="E9" s="23"/>
      <c r="F9" s="23"/>
      <c r="G9" s="22"/>
      <c r="H9" s="22">
        <f t="shared" si="0"/>
        <v>0</v>
      </c>
      <c r="I9" s="24"/>
    </row>
    <row r="10" spans="1:9" ht="31.2" x14ac:dyDescent="0.3">
      <c r="A10" s="20" t="s">
        <v>63</v>
      </c>
      <c r="B10" s="21" t="s">
        <v>225</v>
      </c>
      <c r="C10" s="21" t="s">
        <v>226</v>
      </c>
      <c r="D10" s="22"/>
      <c r="E10" s="23"/>
      <c r="F10" s="23"/>
      <c r="G10" s="22"/>
      <c r="H10" s="22">
        <f t="shared" si="0"/>
        <v>0</v>
      </c>
      <c r="I10" s="24"/>
    </row>
    <row r="11" spans="1:9" ht="31.2" x14ac:dyDescent="0.3">
      <c r="A11" s="20" t="s">
        <v>64</v>
      </c>
      <c r="B11" s="21" t="s">
        <v>227</v>
      </c>
      <c r="C11" s="21" t="s">
        <v>228</v>
      </c>
      <c r="D11" s="22"/>
      <c r="E11" s="23"/>
      <c r="F11" s="23"/>
      <c r="G11" s="22"/>
      <c r="H11" s="22">
        <f t="shared" si="0"/>
        <v>0</v>
      </c>
      <c r="I11" s="24"/>
    </row>
    <row r="12" spans="1:9" ht="31.2" x14ac:dyDescent="0.3">
      <c r="A12" s="20" t="s">
        <v>65</v>
      </c>
      <c r="B12" s="21" t="s">
        <v>158</v>
      </c>
      <c r="C12" s="21" t="s">
        <v>229</v>
      </c>
      <c r="D12" s="22"/>
      <c r="E12" s="23"/>
      <c r="F12" s="23"/>
      <c r="G12" s="22"/>
      <c r="H12" s="22">
        <f t="shared" si="0"/>
        <v>0</v>
      </c>
      <c r="I12" s="24"/>
    </row>
    <row r="13" spans="1:9" ht="31.2" x14ac:dyDescent="0.3">
      <c r="A13" s="20" t="s">
        <v>66</v>
      </c>
      <c r="B13" s="21" t="s">
        <v>230</v>
      </c>
      <c r="C13" s="21" t="s">
        <v>231</v>
      </c>
      <c r="D13" s="22"/>
      <c r="E13" s="23"/>
      <c r="F13" s="23"/>
      <c r="G13" s="22"/>
      <c r="H13" s="22">
        <f t="shared" si="0"/>
        <v>0</v>
      </c>
      <c r="I13" s="24"/>
    </row>
    <row r="14" spans="1:9" ht="31.2" x14ac:dyDescent="0.3">
      <c r="A14" s="20" t="s">
        <v>67</v>
      </c>
      <c r="B14" s="21" t="s">
        <v>159</v>
      </c>
      <c r="C14" s="21" t="s">
        <v>232</v>
      </c>
      <c r="D14" s="22"/>
      <c r="E14" s="23"/>
      <c r="F14" s="23"/>
      <c r="G14" s="22"/>
      <c r="H14" s="22">
        <f t="shared" si="0"/>
        <v>0</v>
      </c>
      <c r="I14" s="24"/>
    </row>
    <row r="15" spans="1:9" ht="31.2" x14ac:dyDescent="0.3">
      <c r="A15" s="20" t="s">
        <v>68</v>
      </c>
      <c r="B15" s="21" t="s">
        <v>160</v>
      </c>
      <c r="C15" s="21" t="s">
        <v>233</v>
      </c>
      <c r="D15" s="22"/>
      <c r="E15" s="23"/>
      <c r="F15" s="23"/>
      <c r="G15" s="22"/>
      <c r="H15" s="22">
        <f t="shared" si="0"/>
        <v>0</v>
      </c>
      <c r="I15" s="24"/>
    </row>
    <row r="16" spans="1:9" ht="31.2" x14ac:dyDescent="0.3">
      <c r="A16" s="20" t="s">
        <v>69</v>
      </c>
      <c r="B16" s="21" t="s">
        <v>161</v>
      </c>
      <c r="C16" s="21" t="s">
        <v>234</v>
      </c>
      <c r="D16" s="22"/>
      <c r="E16" s="23"/>
      <c r="F16" s="23"/>
      <c r="G16" s="22"/>
      <c r="H16" s="22">
        <f t="shared" si="0"/>
        <v>0</v>
      </c>
      <c r="I16" s="24"/>
    </row>
    <row r="17" spans="1:9" ht="15.6" x14ac:dyDescent="0.3">
      <c r="A17" s="20" t="s">
        <v>70</v>
      </c>
      <c r="B17" s="21" t="s">
        <v>235</v>
      </c>
      <c r="C17" s="21" t="s">
        <v>236</v>
      </c>
      <c r="D17" s="22"/>
      <c r="E17" s="23"/>
      <c r="F17" s="23"/>
      <c r="G17" s="22"/>
      <c r="H17" s="22">
        <f t="shared" si="0"/>
        <v>0</v>
      </c>
      <c r="I17" s="24"/>
    </row>
    <row r="18" spans="1:9" ht="31.2" x14ac:dyDescent="0.3">
      <c r="A18" s="20" t="s">
        <v>71</v>
      </c>
      <c r="B18" s="21" t="s">
        <v>155</v>
      </c>
      <c r="C18" s="21" t="s">
        <v>237</v>
      </c>
      <c r="D18" s="22"/>
      <c r="E18" s="23"/>
      <c r="F18" s="23"/>
      <c r="G18" s="22"/>
      <c r="H18" s="22">
        <f t="shared" si="0"/>
        <v>0</v>
      </c>
      <c r="I18" s="24"/>
    </row>
    <row r="19" spans="1:9" ht="15.6" x14ac:dyDescent="0.3">
      <c r="A19" s="20" t="s">
        <v>72</v>
      </c>
      <c r="B19" s="21" t="s">
        <v>156</v>
      </c>
      <c r="C19" s="21" t="s">
        <v>238</v>
      </c>
      <c r="D19" s="22"/>
      <c r="E19" s="23"/>
      <c r="F19" s="23"/>
      <c r="G19" s="22"/>
      <c r="H19" s="22">
        <f t="shared" si="0"/>
        <v>0</v>
      </c>
      <c r="I19" s="24"/>
    </row>
    <row r="20" spans="1:9" ht="15.6" x14ac:dyDescent="0.3">
      <c r="A20" s="20" t="s">
        <v>73</v>
      </c>
      <c r="B20" s="21" t="s">
        <v>157</v>
      </c>
      <c r="C20" s="21" t="s">
        <v>239</v>
      </c>
      <c r="D20" s="22"/>
      <c r="E20" s="23"/>
      <c r="F20" s="23"/>
      <c r="G20" s="22"/>
      <c r="H20" s="22">
        <f t="shared" si="0"/>
        <v>0</v>
      </c>
      <c r="I20" s="24"/>
    </row>
    <row r="21" spans="1:9" ht="31.2" x14ac:dyDescent="0.3">
      <c r="A21" s="20" t="s">
        <v>74</v>
      </c>
      <c r="B21" s="21" t="s">
        <v>240</v>
      </c>
      <c r="C21" s="21" t="s">
        <v>241</v>
      </c>
      <c r="D21" s="22"/>
      <c r="E21" s="23"/>
      <c r="F21" s="23"/>
      <c r="G21" s="22"/>
      <c r="H21" s="22">
        <f t="shared" si="0"/>
        <v>0</v>
      </c>
      <c r="I21" s="24"/>
    </row>
    <row r="22" spans="1:9" ht="31.2" x14ac:dyDescent="0.3">
      <c r="A22" s="20" t="s">
        <v>75</v>
      </c>
      <c r="B22" s="21" t="s">
        <v>242</v>
      </c>
      <c r="C22" s="21" t="s">
        <v>243</v>
      </c>
      <c r="D22" s="22"/>
      <c r="E22" s="23"/>
      <c r="F22" s="23"/>
      <c r="G22" s="22"/>
      <c r="H22" s="22">
        <f t="shared" si="0"/>
        <v>0</v>
      </c>
      <c r="I22" s="24"/>
    </row>
    <row r="23" spans="1:9" ht="31.2" x14ac:dyDescent="0.3">
      <c r="A23" s="20" t="s">
        <v>76</v>
      </c>
      <c r="B23" s="21" t="s">
        <v>244</v>
      </c>
      <c r="C23" s="21" t="s">
        <v>245</v>
      </c>
      <c r="D23" s="22"/>
      <c r="E23" s="23"/>
      <c r="F23" s="23"/>
      <c r="G23" s="22"/>
      <c r="H23" s="22">
        <f t="shared" si="0"/>
        <v>0</v>
      </c>
      <c r="I23" s="24"/>
    </row>
    <row r="24" spans="1:9" ht="31.2" x14ac:dyDescent="0.3">
      <c r="A24" s="20" t="s">
        <v>77</v>
      </c>
      <c r="B24" s="21" t="s">
        <v>246</v>
      </c>
      <c r="C24" s="21" t="s">
        <v>247</v>
      </c>
      <c r="D24" s="22"/>
      <c r="E24" s="23"/>
      <c r="F24" s="23"/>
      <c r="G24" s="22"/>
      <c r="H24" s="22">
        <f t="shared" si="0"/>
        <v>0</v>
      </c>
      <c r="I24" s="24"/>
    </row>
    <row r="25" spans="1:9" ht="31.2" x14ac:dyDescent="0.3">
      <c r="A25" s="20" t="s">
        <v>78</v>
      </c>
      <c r="B25" s="21" t="s">
        <v>248</v>
      </c>
      <c r="C25" s="21" t="s">
        <v>249</v>
      </c>
      <c r="D25" s="22"/>
      <c r="E25" s="23"/>
      <c r="F25" s="23"/>
      <c r="G25" s="22"/>
      <c r="H25" s="22">
        <f t="shared" si="0"/>
        <v>0</v>
      </c>
      <c r="I25" s="24"/>
    </row>
    <row r="26" spans="1:9" ht="31.2" x14ac:dyDescent="0.3">
      <c r="A26" s="20" t="s">
        <v>79</v>
      </c>
      <c r="B26" s="21" t="s">
        <v>250</v>
      </c>
      <c r="C26" s="21" t="s">
        <v>251</v>
      </c>
      <c r="D26" s="22"/>
      <c r="E26" s="23"/>
      <c r="F26" s="23"/>
      <c r="G26" s="22"/>
      <c r="H26" s="22">
        <f t="shared" si="0"/>
        <v>0</v>
      </c>
      <c r="I26" s="24"/>
    </row>
    <row r="27" spans="1:9" ht="31.2" x14ac:dyDescent="0.3">
      <c r="A27" s="20" t="s">
        <v>80</v>
      </c>
      <c r="B27" s="21" t="s">
        <v>252</v>
      </c>
      <c r="C27" s="21" t="s">
        <v>253</v>
      </c>
      <c r="D27" s="22"/>
      <c r="E27" s="23"/>
      <c r="F27" s="23"/>
      <c r="G27" s="22"/>
      <c r="H27" s="22">
        <f t="shared" si="0"/>
        <v>0</v>
      </c>
      <c r="I27" s="24"/>
    </row>
    <row r="28" spans="1:9" ht="31.2" x14ac:dyDescent="0.3">
      <c r="A28" s="20" t="s">
        <v>81</v>
      </c>
      <c r="B28" s="21" t="s">
        <v>254</v>
      </c>
      <c r="C28" s="21" t="s">
        <v>255</v>
      </c>
      <c r="D28" s="22"/>
      <c r="E28" s="23"/>
      <c r="F28" s="23"/>
      <c r="G28" s="22"/>
      <c r="H28" s="22">
        <f t="shared" si="0"/>
        <v>0</v>
      </c>
      <c r="I28" s="24"/>
    </row>
    <row r="29" spans="1:9" ht="31.2" x14ac:dyDescent="0.3">
      <c r="A29" s="20" t="s">
        <v>82</v>
      </c>
      <c r="B29" s="21" t="s">
        <v>256</v>
      </c>
      <c r="C29" s="21" t="s">
        <v>257</v>
      </c>
      <c r="D29" s="22"/>
      <c r="E29" s="23"/>
      <c r="F29" s="23"/>
      <c r="G29" s="22"/>
      <c r="H29" s="22">
        <f t="shared" si="0"/>
        <v>0</v>
      </c>
      <c r="I29" s="24"/>
    </row>
    <row r="30" spans="1:9" ht="31.2" x14ac:dyDescent="0.3">
      <c r="A30" s="20" t="s">
        <v>83</v>
      </c>
      <c r="B30" s="21" t="s">
        <v>258</v>
      </c>
      <c r="C30" s="21" t="s">
        <v>259</v>
      </c>
      <c r="D30" s="22"/>
      <c r="E30" s="23"/>
      <c r="F30" s="23"/>
      <c r="G30" s="22"/>
      <c r="H30" s="22">
        <f t="shared" si="0"/>
        <v>0</v>
      </c>
      <c r="I30" s="24"/>
    </row>
    <row r="31" spans="1:9" ht="31.2" x14ac:dyDescent="0.3">
      <c r="A31" s="20" t="s">
        <v>84</v>
      </c>
      <c r="B31" s="21" t="s">
        <v>260</v>
      </c>
      <c r="C31" s="21" t="s">
        <v>261</v>
      </c>
      <c r="D31" s="22"/>
      <c r="E31" s="23"/>
      <c r="F31" s="23"/>
      <c r="G31" s="22"/>
      <c r="H31" s="22">
        <f t="shared" si="0"/>
        <v>0</v>
      </c>
      <c r="I31" s="24"/>
    </row>
    <row r="32" spans="1:9" ht="31.2" x14ac:dyDescent="0.3">
      <c r="A32" s="20" t="s">
        <v>85</v>
      </c>
      <c r="B32" s="21" t="s">
        <v>262</v>
      </c>
      <c r="C32" s="21" t="s">
        <v>263</v>
      </c>
      <c r="D32" s="22"/>
      <c r="E32" s="23"/>
      <c r="F32" s="23"/>
      <c r="G32" s="22"/>
      <c r="H32" s="22">
        <f t="shared" si="0"/>
        <v>0</v>
      </c>
      <c r="I32" s="24"/>
    </row>
    <row r="33" spans="1:9" ht="15.6" x14ac:dyDescent="0.3">
      <c r="A33" s="20" t="s">
        <v>86</v>
      </c>
      <c r="B33" s="21" t="s">
        <v>264</v>
      </c>
      <c r="C33" s="21" t="s">
        <v>265</v>
      </c>
      <c r="D33" s="22"/>
      <c r="E33" s="23"/>
      <c r="F33" s="23"/>
      <c r="G33" s="22"/>
      <c r="H33" s="22">
        <f t="shared" si="0"/>
        <v>0</v>
      </c>
      <c r="I33" s="24"/>
    </row>
    <row r="34" spans="1:9" ht="31.2" x14ac:dyDescent="0.3">
      <c r="A34" s="20" t="s">
        <v>87</v>
      </c>
      <c r="B34" s="21" t="s">
        <v>266</v>
      </c>
      <c r="C34" s="21" t="s">
        <v>267</v>
      </c>
      <c r="D34" s="22"/>
      <c r="E34" s="23"/>
      <c r="F34" s="23"/>
      <c r="G34" s="22"/>
      <c r="H34" s="22">
        <f t="shared" si="0"/>
        <v>0</v>
      </c>
      <c r="I34" s="24"/>
    </row>
    <row r="35" spans="1:9" ht="15.6" x14ac:dyDescent="0.3">
      <c r="A35" s="20" t="s">
        <v>88</v>
      </c>
      <c r="B35" s="21" t="s">
        <v>163</v>
      </c>
      <c r="C35" s="21" t="s">
        <v>268</v>
      </c>
      <c r="D35" s="22"/>
      <c r="E35" s="23"/>
      <c r="F35" s="23"/>
      <c r="G35" s="22"/>
      <c r="H35" s="22">
        <f t="shared" si="0"/>
        <v>0</v>
      </c>
      <c r="I35" s="24"/>
    </row>
    <row r="36" spans="1:9" ht="31.2" x14ac:dyDescent="0.3">
      <c r="A36" s="20" t="s">
        <v>89</v>
      </c>
      <c r="B36" s="21" t="s">
        <v>269</v>
      </c>
      <c r="C36" s="21" t="s">
        <v>270</v>
      </c>
      <c r="D36" s="22"/>
      <c r="E36" s="23"/>
      <c r="F36" s="23"/>
      <c r="G36" s="22"/>
      <c r="H36" s="22">
        <f t="shared" ref="H36:H40" si="1">IF(D36="Met",1,IF(D36="Partial",0.5,IF(D36="Not Met",0,)))</f>
        <v>0</v>
      </c>
      <c r="I36" s="24"/>
    </row>
    <row r="37" spans="1:9" ht="31.2" x14ac:dyDescent="0.3">
      <c r="A37" s="20" t="s">
        <v>90</v>
      </c>
      <c r="B37" s="21" t="s">
        <v>271</v>
      </c>
      <c r="C37" s="21" t="s">
        <v>272</v>
      </c>
      <c r="D37" s="22"/>
      <c r="E37" s="23"/>
      <c r="F37" s="23"/>
      <c r="G37" s="22"/>
      <c r="H37" s="22">
        <f t="shared" si="1"/>
        <v>0</v>
      </c>
      <c r="I37" s="24"/>
    </row>
    <row r="38" spans="1:9" ht="31.2" x14ac:dyDescent="0.3">
      <c r="A38" s="20" t="s">
        <v>91</v>
      </c>
      <c r="B38" s="21" t="s">
        <v>273</v>
      </c>
      <c r="C38" s="21" t="s">
        <v>274</v>
      </c>
      <c r="D38" s="22"/>
      <c r="E38" s="23"/>
      <c r="F38" s="23"/>
      <c r="G38" s="22"/>
      <c r="H38" s="22">
        <f t="shared" si="1"/>
        <v>0</v>
      </c>
      <c r="I38" s="24"/>
    </row>
    <row r="39" spans="1:9" ht="31.2" x14ac:dyDescent="0.3">
      <c r="A39" s="20" t="s">
        <v>92</v>
      </c>
      <c r="B39" s="21" t="s">
        <v>275</v>
      </c>
      <c r="C39" s="21" t="s">
        <v>276</v>
      </c>
      <c r="D39" s="22"/>
      <c r="E39" s="23"/>
      <c r="F39" s="23"/>
      <c r="G39" s="22"/>
      <c r="H39" s="22">
        <f t="shared" si="1"/>
        <v>0</v>
      </c>
      <c r="I39" s="24"/>
    </row>
    <row r="40" spans="1:9" ht="31.2" x14ac:dyDescent="0.3">
      <c r="A40" s="20" t="s">
        <v>93</v>
      </c>
      <c r="B40" s="21" t="s">
        <v>277</v>
      </c>
      <c r="C40" s="21" t="s">
        <v>278</v>
      </c>
      <c r="D40" s="22"/>
      <c r="E40" s="23"/>
      <c r="F40" s="23"/>
      <c r="G40" s="22"/>
      <c r="H40" s="22">
        <f t="shared" si="1"/>
        <v>0</v>
      </c>
      <c r="I40" s="24"/>
    </row>
    <row r="43" spans="1:9" ht="15.6" x14ac:dyDescent="0.3">
      <c r="A43" s="20" t="s">
        <v>280</v>
      </c>
      <c r="B43" s="33"/>
      <c r="C43" s="33"/>
      <c r="D43" s="33"/>
      <c r="E43" s="33"/>
      <c r="F43" s="33"/>
      <c r="G43" s="33"/>
      <c r="H43" s="2">
        <f>SUM(H4:H40)</f>
        <v>0</v>
      </c>
    </row>
  </sheetData>
  <mergeCells count="2">
    <mergeCell ref="A1:H1"/>
    <mergeCell ref="B43:G43"/>
  </mergeCells>
  <conditionalFormatting sqref="D4:D40">
    <cfRule type="expression" dxfId="24" priority="11">
      <formula>INDIRECT("D"&amp;ROW())="Met"</formula>
    </cfRule>
    <cfRule type="expression" dxfId="23" priority="12">
      <formula>INDIRECT("D"&amp;ROW())="Partial"</formula>
    </cfRule>
    <cfRule type="expression" dxfId="22" priority="13">
      <formula>INDIRECT("D"&amp;ROW())="Not Met"</formula>
    </cfRule>
  </conditionalFormatting>
  <conditionalFormatting sqref="G4">
    <cfRule type="expression" dxfId="21" priority="4">
      <formula>INDIRECT("D"&amp;ROW())="High"</formula>
    </cfRule>
  </conditionalFormatting>
  <conditionalFormatting sqref="G4:G40">
    <cfRule type="expression" dxfId="20" priority="1">
      <formula>$G4="Low"</formula>
    </cfRule>
    <cfRule type="expression" dxfId="19" priority="2">
      <formula>$G4="Medium"</formula>
    </cfRule>
    <cfRule type="expression" dxfId="18" priority="3">
      <formula>$G4="High"</formula>
    </cfRule>
  </conditionalFormatting>
  <dataValidations count="2">
    <dataValidation type="list" allowBlank="1" showInputMessage="1" showErrorMessage="1" sqref="D4:D40" xr:uid="{00000000-0002-0000-0300-000000000000}">
      <formula1>StatusList</formula1>
    </dataValidation>
    <dataValidation type="list" allowBlank="1" showInputMessage="1" showErrorMessage="1" sqref="G4:G40" xr:uid="{A0E13B32-6BAC-4064-8CE9-9812E047E46C}">
      <formula1>PriorityList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E7255-106E-42FC-A82B-0268AC7B52C4}">
  <dimension ref="A1:I14"/>
  <sheetViews>
    <sheetView zoomScale="33" workbookViewId="0">
      <selection activeCell="C29" sqref="C29"/>
    </sheetView>
  </sheetViews>
  <sheetFormatPr defaultRowHeight="13.8" x14ac:dyDescent="0.25"/>
  <cols>
    <col min="1" max="1" width="14" style="5" customWidth="1"/>
    <col min="2" max="2" width="36" style="5" customWidth="1"/>
    <col min="3" max="3" width="44" style="5" customWidth="1"/>
    <col min="4" max="4" width="16" style="5" customWidth="1"/>
    <col min="5" max="6" width="44" style="5" customWidth="1"/>
    <col min="7" max="7" width="12" style="5" customWidth="1"/>
    <col min="8" max="8" width="20" style="5" customWidth="1"/>
    <col min="9" max="9" width="13" style="5" hidden="1" customWidth="1"/>
    <col min="10" max="16384" width="8.88671875" style="5"/>
  </cols>
  <sheetData>
    <row r="1" spans="1:9" ht="49.8" customHeight="1" x14ac:dyDescent="0.4">
      <c r="A1" s="31" t="s">
        <v>297</v>
      </c>
      <c r="B1" s="26"/>
      <c r="C1" s="26"/>
      <c r="D1" s="26"/>
      <c r="E1" s="26"/>
      <c r="F1" s="26"/>
      <c r="G1" s="26"/>
      <c r="H1" s="26"/>
    </row>
    <row r="3" spans="1:9" ht="46.8" x14ac:dyDescent="0.3">
      <c r="A3" s="17" t="s">
        <v>53</v>
      </c>
      <c r="B3" s="18" t="s">
        <v>54</v>
      </c>
      <c r="C3" s="18" t="s">
        <v>55</v>
      </c>
      <c r="D3" s="17" t="s">
        <v>18</v>
      </c>
      <c r="E3" s="18" t="s">
        <v>56</v>
      </c>
      <c r="F3" s="18" t="s">
        <v>20</v>
      </c>
      <c r="G3" s="17" t="s">
        <v>21</v>
      </c>
      <c r="H3" s="17" t="s">
        <v>22</v>
      </c>
      <c r="I3" s="19" t="s">
        <v>23</v>
      </c>
    </row>
    <row r="4" spans="1:9" ht="27.6" x14ac:dyDescent="0.3">
      <c r="A4" s="16" t="s">
        <v>94</v>
      </c>
      <c r="B4" s="10" t="s">
        <v>281</v>
      </c>
      <c r="C4" s="10" t="s">
        <v>282</v>
      </c>
      <c r="D4" s="22"/>
      <c r="E4" s="23"/>
      <c r="F4" s="23"/>
      <c r="G4" s="22"/>
      <c r="H4" s="22">
        <f t="shared" ref="H4:H11" si="0">IF(D4="Met",1,IF(D4="Partial",0.5,IF(D4="Not Met",0,)))</f>
        <v>0</v>
      </c>
      <c r="I4" s="24">
        <f>IFERROR(AVERAGE(H4:H11),0)</f>
        <v>0</v>
      </c>
    </row>
    <row r="5" spans="1:9" ht="27.6" x14ac:dyDescent="0.3">
      <c r="A5" s="16" t="s">
        <v>95</v>
      </c>
      <c r="B5" s="10" t="s">
        <v>283</v>
      </c>
      <c r="C5" s="10" t="s">
        <v>284</v>
      </c>
      <c r="D5" s="22"/>
      <c r="E5" s="23"/>
      <c r="F5" s="23"/>
      <c r="G5" s="22"/>
      <c r="H5" s="22">
        <f t="shared" si="0"/>
        <v>0</v>
      </c>
      <c r="I5" s="24"/>
    </row>
    <row r="6" spans="1:9" ht="27.6" x14ac:dyDescent="0.3">
      <c r="A6" s="16" t="s">
        <v>96</v>
      </c>
      <c r="B6" s="10" t="s">
        <v>285</v>
      </c>
      <c r="C6" s="10" t="s">
        <v>286</v>
      </c>
      <c r="D6" s="22"/>
      <c r="E6" s="23"/>
      <c r="F6" s="23"/>
      <c r="G6" s="22"/>
      <c r="H6" s="22">
        <f t="shared" si="0"/>
        <v>0</v>
      </c>
      <c r="I6" s="24"/>
    </row>
    <row r="7" spans="1:9" ht="27.6" x14ac:dyDescent="0.3">
      <c r="A7" s="16" t="s">
        <v>97</v>
      </c>
      <c r="B7" s="10" t="s">
        <v>287</v>
      </c>
      <c r="C7" s="10" t="s">
        <v>288</v>
      </c>
      <c r="D7" s="22"/>
      <c r="E7" s="23"/>
      <c r="F7" s="23"/>
      <c r="G7" s="22"/>
      <c r="H7" s="22">
        <f t="shared" si="0"/>
        <v>0</v>
      </c>
      <c r="I7" s="24"/>
    </row>
    <row r="8" spans="1:9" ht="27.6" x14ac:dyDescent="0.3">
      <c r="A8" s="16" t="s">
        <v>98</v>
      </c>
      <c r="B8" s="10" t="s">
        <v>289</v>
      </c>
      <c r="C8" s="10" t="s">
        <v>290</v>
      </c>
      <c r="D8" s="22"/>
      <c r="E8" s="23"/>
      <c r="F8" s="23"/>
      <c r="G8" s="22"/>
      <c r="H8" s="22">
        <f t="shared" si="0"/>
        <v>0</v>
      </c>
      <c r="I8" s="24"/>
    </row>
    <row r="9" spans="1:9" ht="15.6" x14ac:dyDescent="0.3">
      <c r="A9" s="16" t="s">
        <v>99</v>
      </c>
      <c r="B9" s="10" t="s">
        <v>291</v>
      </c>
      <c r="C9" s="10" t="s">
        <v>292</v>
      </c>
      <c r="D9" s="22"/>
      <c r="E9" s="23"/>
      <c r="F9" s="23"/>
      <c r="G9" s="22"/>
      <c r="H9" s="22">
        <f t="shared" si="0"/>
        <v>0</v>
      </c>
      <c r="I9" s="24"/>
    </row>
    <row r="10" spans="1:9" ht="27.6" x14ac:dyDescent="0.3">
      <c r="A10" s="16" t="s">
        <v>100</v>
      </c>
      <c r="B10" s="10" t="s">
        <v>293</v>
      </c>
      <c r="C10" s="10" t="s">
        <v>294</v>
      </c>
      <c r="D10" s="22"/>
      <c r="E10" s="23"/>
      <c r="F10" s="23"/>
      <c r="G10" s="22"/>
      <c r="H10" s="22">
        <f t="shared" si="0"/>
        <v>0</v>
      </c>
      <c r="I10" s="24"/>
    </row>
    <row r="11" spans="1:9" ht="27.6" x14ac:dyDescent="0.3">
      <c r="A11" s="16" t="s">
        <v>101</v>
      </c>
      <c r="B11" s="10" t="s">
        <v>295</v>
      </c>
      <c r="C11" s="10" t="s">
        <v>296</v>
      </c>
      <c r="D11" s="22"/>
      <c r="E11" s="23"/>
      <c r="F11" s="23"/>
      <c r="G11" s="22"/>
      <c r="H11" s="22">
        <f t="shared" si="0"/>
        <v>0</v>
      </c>
      <c r="I11" s="24"/>
    </row>
    <row r="14" spans="1:9" ht="15.6" x14ac:dyDescent="0.25">
      <c r="A14" s="20" t="s">
        <v>280</v>
      </c>
      <c r="B14" s="34"/>
      <c r="C14" s="34"/>
      <c r="D14" s="34"/>
      <c r="E14" s="34"/>
      <c r="F14" s="34"/>
      <c r="G14" s="34"/>
      <c r="H14" s="7">
        <f>SUM(H4:H11)</f>
        <v>0</v>
      </c>
    </row>
  </sheetData>
  <mergeCells count="2">
    <mergeCell ref="A1:H1"/>
    <mergeCell ref="B14:G14"/>
  </mergeCells>
  <conditionalFormatting sqref="D4:D11">
    <cfRule type="expression" dxfId="17" priority="1">
      <formula>INDIRECT("D"&amp;ROW())="Met"</formula>
    </cfRule>
    <cfRule type="expression" dxfId="16" priority="2">
      <formula>INDIRECT("D"&amp;ROW())="Partial"</formula>
    </cfRule>
    <cfRule type="expression" dxfId="15" priority="3">
      <formula>INDIRECT("D"&amp;ROW())="Not Met"</formula>
    </cfRule>
  </conditionalFormatting>
  <conditionalFormatting sqref="G4:G11">
    <cfRule type="expression" dxfId="14" priority="4">
      <formula>$G4="Low"</formula>
    </cfRule>
    <cfRule type="expression" dxfId="13" priority="5">
      <formula>$G4="Medium"</formula>
    </cfRule>
    <cfRule type="expression" dxfId="12" priority="6">
      <formula>$G4="High"</formula>
    </cfRule>
  </conditionalFormatting>
  <dataValidations count="2">
    <dataValidation type="list" allowBlank="1" showInputMessage="1" showErrorMessage="1" sqref="G4:G11" xr:uid="{C59C8450-1091-474C-A14F-82EB68A6AAAE}">
      <formula1>PriorityList</formula1>
    </dataValidation>
    <dataValidation type="list" allowBlank="1" showInputMessage="1" showErrorMessage="1" sqref="D4:D11" xr:uid="{7B027EDC-766F-4342-92C4-F6438938E31D}">
      <formula1>StatusList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95071-0B4F-4640-B614-860329B4EB4B}">
  <dimension ref="A1:I19"/>
  <sheetViews>
    <sheetView zoomScale="44" workbookViewId="0">
      <selection activeCell="D4" sqref="D4:D17"/>
    </sheetView>
  </sheetViews>
  <sheetFormatPr defaultRowHeight="14.4" x14ac:dyDescent="0.3"/>
  <cols>
    <col min="1" max="1" width="14" customWidth="1"/>
    <col min="2" max="2" width="36" customWidth="1"/>
    <col min="3" max="3" width="44" customWidth="1"/>
    <col min="4" max="4" width="16" customWidth="1"/>
    <col min="5" max="6" width="44" customWidth="1"/>
    <col min="7" max="7" width="12" customWidth="1"/>
    <col min="8" max="8" width="20" customWidth="1"/>
    <col min="9" max="9" width="13" hidden="1" customWidth="1"/>
  </cols>
  <sheetData>
    <row r="1" spans="1:9" ht="49.8" customHeight="1" x14ac:dyDescent="0.4">
      <c r="A1" s="31" t="s">
        <v>297</v>
      </c>
      <c r="B1" s="32"/>
      <c r="C1" s="32"/>
      <c r="D1" s="32"/>
      <c r="E1" s="32"/>
      <c r="F1" s="32"/>
      <c r="G1" s="32"/>
      <c r="H1" s="32"/>
    </row>
    <row r="3" spans="1:9" ht="31.2" x14ac:dyDescent="0.3">
      <c r="A3" s="17" t="s">
        <v>53</v>
      </c>
      <c r="B3" s="18" t="s">
        <v>54</v>
      </c>
      <c r="C3" s="18" t="s">
        <v>55</v>
      </c>
      <c r="D3" s="17" t="s">
        <v>18</v>
      </c>
      <c r="E3" s="18" t="s">
        <v>56</v>
      </c>
      <c r="F3" s="18" t="s">
        <v>20</v>
      </c>
      <c r="G3" s="17" t="s">
        <v>21</v>
      </c>
      <c r="H3" s="17" t="s">
        <v>22</v>
      </c>
      <c r="I3" s="19" t="s">
        <v>23</v>
      </c>
    </row>
    <row r="4" spans="1:9" ht="15.6" x14ac:dyDescent="0.3">
      <c r="A4" s="16" t="s">
        <v>102</v>
      </c>
      <c r="B4" s="10" t="s">
        <v>298</v>
      </c>
      <c r="C4" s="10" t="s">
        <v>299</v>
      </c>
      <c r="D4" s="22"/>
      <c r="E4" s="23"/>
      <c r="F4" s="23"/>
      <c r="G4" s="22"/>
      <c r="H4" s="22">
        <f t="shared" ref="H4:H17" si="0">IF(D4="Met",1,IF(D4="Partial",0.5,IF(D4="Not Met",0,)))</f>
        <v>0</v>
      </c>
      <c r="I4" s="24">
        <f>IFERROR(AVERAGE(H4:H13),0)</f>
        <v>0</v>
      </c>
    </row>
    <row r="5" spans="1:9" ht="27.6" x14ac:dyDescent="0.3">
      <c r="A5" s="16" t="s">
        <v>103</v>
      </c>
      <c r="B5" s="10" t="s">
        <v>300</v>
      </c>
      <c r="C5" s="10" t="s">
        <v>301</v>
      </c>
      <c r="D5" s="22"/>
      <c r="E5" s="23"/>
      <c r="F5" s="23"/>
      <c r="G5" s="22"/>
      <c r="H5" s="22">
        <f t="shared" si="0"/>
        <v>0</v>
      </c>
      <c r="I5" s="24"/>
    </row>
    <row r="6" spans="1:9" ht="27.6" x14ac:dyDescent="0.3">
      <c r="A6" s="16" t="s">
        <v>104</v>
      </c>
      <c r="B6" s="10" t="s">
        <v>302</v>
      </c>
      <c r="C6" s="10" t="s">
        <v>303</v>
      </c>
      <c r="D6" s="22"/>
      <c r="E6" s="23"/>
      <c r="F6" s="23"/>
      <c r="G6" s="22"/>
      <c r="H6" s="22">
        <f t="shared" si="0"/>
        <v>0</v>
      </c>
      <c r="I6" s="24"/>
    </row>
    <row r="7" spans="1:9" ht="15.6" x14ac:dyDescent="0.3">
      <c r="A7" s="16" t="s">
        <v>105</v>
      </c>
      <c r="B7" s="10" t="s">
        <v>304</v>
      </c>
      <c r="C7" s="10" t="s">
        <v>305</v>
      </c>
      <c r="D7" s="22"/>
      <c r="E7" s="23"/>
      <c r="F7" s="23"/>
      <c r="G7" s="22"/>
      <c r="H7" s="22">
        <f t="shared" si="0"/>
        <v>0</v>
      </c>
      <c r="I7" s="24"/>
    </row>
    <row r="8" spans="1:9" ht="27.6" x14ac:dyDescent="0.3">
      <c r="A8" s="16" t="s">
        <v>106</v>
      </c>
      <c r="B8" s="10" t="s">
        <v>306</v>
      </c>
      <c r="C8" s="10" t="s">
        <v>307</v>
      </c>
      <c r="D8" s="22"/>
      <c r="E8" s="23"/>
      <c r="F8" s="23"/>
      <c r="G8" s="22"/>
      <c r="H8" s="22">
        <f t="shared" si="0"/>
        <v>0</v>
      </c>
      <c r="I8" s="24"/>
    </row>
    <row r="9" spans="1:9" ht="27.6" x14ac:dyDescent="0.3">
      <c r="A9" s="16" t="s">
        <v>107</v>
      </c>
      <c r="B9" s="10" t="s">
        <v>308</v>
      </c>
      <c r="C9" s="10" t="s">
        <v>309</v>
      </c>
      <c r="D9" s="22"/>
      <c r="E9" s="23"/>
      <c r="F9" s="23"/>
      <c r="G9" s="22"/>
      <c r="H9" s="22">
        <f t="shared" si="0"/>
        <v>0</v>
      </c>
      <c r="I9" s="24"/>
    </row>
    <row r="10" spans="1:9" ht="27.6" x14ac:dyDescent="0.3">
      <c r="A10" s="16" t="s">
        <v>108</v>
      </c>
      <c r="B10" s="10" t="s">
        <v>310</v>
      </c>
      <c r="C10" s="10" t="s">
        <v>311</v>
      </c>
      <c r="D10" s="22"/>
      <c r="E10" s="23"/>
      <c r="F10" s="23"/>
      <c r="G10" s="22"/>
      <c r="H10" s="22">
        <f t="shared" si="0"/>
        <v>0</v>
      </c>
      <c r="I10" s="24"/>
    </row>
    <row r="11" spans="1:9" ht="27.6" x14ac:dyDescent="0.3">
      <c r="A11" s="16" t="s">
        <v>109</v>
      </c>
      <c r="B11" s="10" t="s">
        <v>312</v>
      </c>
      <c r="C11" s="10" t="s">
        <v>313</v>
      </c>
      <c r="D11" s="22"/>
      <c r="E11" s="23"/>
      <c r="F11" s="23"/>
      <c r="G11" s="22"/>
      <c r="H11" s="22">
        <f t="shared" si="0"/>
        <v>0</v>
      </c>
      <c r="I11" s="24"/>
    </row>
    <row r="12" spans="1:9" ht="15.6" x14ac:dyDescent="0.3">
      <c r="A12" s="16" t="s">
        <v>110</v>
      </c>
      <c r="B12" s="10" t="s">
        <v>314</v>
      </c>
      <c r="C12" s="10" t="s">
        <v>315</v>
      </c>
      <c r="D12" s="22"/>
      <c r="E12" s="23"/>
      <c r="F12" s="23"/>
      <c r="G12" s="22"/>
      <c r="H12" s="22">
        <f t="shared" si="0"/>
        <v>0</v>
      </c>
      <c r="I12" s="24"/>
    </row>
    <row r="13" spans="1:9" ht="15.6" x14ac:dyDescent="0.3">
      <c r="A13" s="16" t="s">
        <v>111</v>
      </c>
      <c r="B13" s="10" t="s">
        <v>316</v>
      </c>
      <c r="C13" s="10" t="s">
        <v>317</v>
      </c>
      <c r="D13" s="22"/>
      <c r="E13" s="23"/>
      <c r="F13" s="23"/>
      <c r="G13" s="22"/>
      <c r="H13" s="22">
        <f t="shared" si="0"/>
        <v>0</v>
      </c>
      <c r="I13" s="24"/>
    </row>
    <row r="14" spans="1:9" ht="15.6" x14ac:dyDescent="0.3">
      <c r="A14" s="16" t="s">
        <v>112</v>
      </c>
      <c r="B14" s="10" t="s">
        <v>318</v>
      </c>
      <c r="C14" s="10" t="s">
        <v>319</v>
      </c>
      <c r="D14" s="22"/>
      <c r="E14" s="23"/>
      <c r="F14" s="23"/>
      <c r="G14" s="22"/>
      <c r="H14" s="22">
        <f t="shared" si="0"/>
        <v>0</v>
      </c>
      <c r="I14" s="24"/>
    </row>
    <row r="15" spans="1:9" ht="15.6" x14ac:dyDescent="0.3">
      <c r="A15" s="16" t="s">
        <v>113</v>
      </c>
      <c r="B15" s="10" t="s">
        <v>320</v>
      </c>
      <c r="C15" s="10" t="s">
        <v>321</v>
      </c>
      <c r="D15" s="22"/>
      <c r="E15" s="23"/>
      <c r="F15" s="23"/>
      <c r="G15" s="22"/>
      <c r="H15" s="22">
        <f t="shared" si="0"/>
        <v>0</v>
      </c>
      <c r="I15" s="24"/>
    </row>
    <row r="16" spans="1:9" ht="15.6" x14ac:dyDescent="0.3">
      <c r="A16" s="16" t="s">
        <v>114</v>
      </c>
      <c r="B16" s="10" t="s">
        <v>322</v>
      </c>
      <c r="C16" s="10" t="s">
        <v>323</v>
      </c>
      <c r="D16" s="22"/>
      <c r="E16" s="23"/>
      <c r="F16" s="23"/>
      <c r="G16" s="22"/>
      <c r="H16" s="22">
        <f t="shared" si="0"/>
        <v>0</v>
      </c>
      <c r="I16" s="24"/>
    </row>
    <row r="17" spans="1:9" ht="15.6" x14ac:dyDescent="0.3">
      <c r="A17" s="16" t="s">
        <v>115</v>
      </c>
      <c r="B17" s="10" t="s">
        <v>324</v>
      </c>
      <c r="C17" s="10" t="s">
        <v>325</v>
      </c>
      <c r="D17" s="22"/>
      <c r="E17" s="23"/>
      <c r="F17" s="23"/>
      <c r="G17" s="22"/>
      <c r="H17" s="22">
        <f t="shared" si="0"/>
        <v>0</v>
      </c>
      <c r="I17" s="5"/>
    </row>
    <row r="19" spans="1:9" ht="15.6" x14ac:dyDescent="0.3">
      <c r="A19" s="20" t="s">
        <v>280</v>
      </c>
      <c r="B19" s="33"/>
      <c r="C19" s="33"/>
      <c r="D19" s="33"/>
      <c r="E19" s="33"/>
      <c r="F19" s="33"/>
      <c r="G19" s="33"/>
      <c r="H19" s="2">
        <f>SUM(H4:H13)</f>
        <v>0</v>
      </c>
    </row>
  </sheetData>
  <mergeCells count="2">
    <mergeCell ref="A1:H1"/>
    <mergeCell ref="B19:G19"/>
  </mergeCells>
  <conditionalFormatting sqref="D4:D17">
    <cfRule type="expression" dxfId="11" priority="1">
      <formula>INDIRECT("D"&amp;ROW())="Met"</formula>
    </cfRule>
    <cfRule type="expression" dxfId="10" priority="2">
      <formula>INDIRECT("D"&amp;ROW())="Partial"</formula>
    </cfRule>
    <cfRule type="expression" dxfId="9" priority="3">
      <formula>INDIRECT("D"&amp;ROW())="Not Met"</formula>
    </cfRule>
  </conditionalFormatting>
  <conditionalFormatting sqref="G4:G17">
    <cfRule type="expression" dxfId="8" priority="4">
      <formula>$G4="Low"</formula>
    </cfRule>
    <cfRule type="expression" dxfId="7" priority="5">
      <formula>$G4="Medium"</formula>
    </cfRule>
    <cfRule type="expression" dxfId="6" priority="6">
      <formula>$G4="High"</formula>
    </cfRule>
  </conditionalFormatting>
  <dataValidations count="2">
    <dataValidation type="list" allowBlank="1" showInputMessage="1" showErrorMessage="1" sqref="D4:D17" xr:uid="{07B4DAE0-BFE7-477C-8415-C679B9365A34}">
      <formula1>StatusList</formula1>
    </dataValidation>
    <dataValidation type="list" allowBlank="1" showInputMessage="1" showErrorMessage="1" sqref="G4:G17" xr:uid="{6BE18800-520B-4026-98C4-4ACE01171A2D}">
      <formula1>PriorityList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4C74B-FDA5-4400-A972-8761C810DA9B}">
  <dimension ref="A1:I40"/>
  <sheetViews>
    <sheetView zoomScale="46" workbookViewId="0">
      <selection activeCell="J18" sqref="J18"/>
    </sheetView>
  </sheetViews>
  <sheetFormatPr defaultRowHeight="13.8" x14ac:dyDescent="0.25"/>
  <cols>
    <col min="1" max="1" width="14" style="5" customWidth="1"/>
    <col min="2" max="2" width="36" style="5" customWidth="1"/>
    <col min="3" max="3" width="44" style="5" customWidth="1"/>
    <col min="4" max="4" width="16" style="5" customWidth="1"/>
    <col min="5" max="6" width="44" style="5" customWidth="1"/>
    <col min="7" max="7" width="12" style="5" customWidth="1"/>
    <col min="8" max="8" width="20" style="5" customWidth="1"/>
    <col min="9" max="9" width="13" style="5" hidden="1" customWidth="1"/>
    <col min="10" max="16384" width="8.88671875" style="5"/>
  </cols>
  <sheetData>
    <row r="1" spans="1:9" ht="49.8" customHeight="1" x14ac:dyDescent="0.4">
      <c r="A1" s="31" t="s">
        <v>279</v>
      </c>
      <c r="B1" s="26"/>
      <c r="C1" s="26"/>
      <c r="D1" s="26"/>
      <c r="E1" s="26"/>
      <c r="F1" s="26"/>
      <c r="G1" s="26"/>
      <c r="H1" s="26"/>
    </row>
    <row r="3" spans="1:9" ht="31.2" x14ac:dyDescent="0.3">
      <c r="A3" s="17" t="s">
        <v>53</v>
      </c>
      <c r="B3" s="18" t="s">
        <v>54</v>
      </c>
      <c r="C3" s="18" t="s">
        <v>55</v>
      </c>
      <c r="D3" s="17" t="s">
        <v>18</v>
      </c>
      <c r="E3" s="18" t="s">
        <v>56</v>
      </c>
      <c r="F3" s="18" t="s">
        <v>20</v>
      </c>
      <c r="G3" s="17" t="s">
        <v>21</v>
      </c>
      <c r="H3" s="17" t="s">
        <v>22</v>
      </c>
      <c r="I3" s="19" t="s">
        <v>23</v>
      </c>
    </row>
    <row r="4" spans="1:9" ht="27.6" x14ac:dyDescent="0.3">
      <c r="A4" s="16" t="s">
        <v>116</v>
      </c>
      <c r="B4" s="10" t="s">
        <v>326</v>
      </c>
      <c r="C4" s="10" t="s">
        <v>327</v>
      </c>
      <c r="D4" s="22"/>
      <c r="E4" s="23"/>
      <c r="F4" s="23"/>
      <c r="G4" s="22"/>
      <c r="H4" s="22">
        <f t="shared" ref="H4:H37" si="0">IF(D4="Met",1,IF(D4="Partial",0.5,IF(D4="Not Met",0,)))</f>
        <v>0</v>
      </c>
      <c r="I4" s="24">
        <f>IFERROR(AVERAGE(H4:H37),0)</f>
        <v>0</v>
      </c>
    </row>
    <row r="5" spans="1:9" ht="27.6" x14ac:dyDescent="0.3">
      <c r="A5" s="16" t="s">
        <v>117</v>
      </c>
      <c r="B5" s="10" t="s">
        <v>328</v>
      </c>
      <c r="C5" s="10" t="s">
        <v>329</v>
      </c>
      <c r="D5" s="22"/>
      <c r="E5" s="23"/>
      <c r="F5" s="23"/>
      <c r="G5" s="22"/>
      <c r="H5" s="22">
        <f t="shared" si="0"/>
        <v>0</v>
      </c>
      <c r="I5" s="24"/>
    </row>
    <row r="6" spans="1:9" ht="15.6" x14ac:dyDescent="0.3">
      <c r="A6" s="16" t="s">
        <v>118</v>
      </c>
      <c r="B6" s="10" t="s">
        <v>330</v>
      </c>
      <c r="C6" s="10" t="s">
        <v>331</v>
      </c>
      <c r="D6" s="22"/>
      <c r="E6" s="23"/>
      <c r="F6" s="23"/>
      <c r="G6" s="22"/>
      <c r="H6" s="22">
        <f t="shared" si="0"/>
        <v>0</v>
      </c>
      <c r="I6" s="24"/>
    </row>
    <row r="7" spans="1:9" ht="27.6" x14ac:dyDescent="0.3">
      <c r="A7" s="16" t="s">
        <v>119</v>
      </c>
      <c r="B7" s="10" t="s">
        <v>332</v>
      </c>
      <c r="C7" s="10" t="s">
        <v>333</v>
      </c>
      <c r="D7" s="22"/>
      <c r="E7" s="23"/>
      <c r="F7" s="23"/>
      <c r="G7" s="22"/>
      <c r="H7" s="22">
        <f t="shared" si="0"/>
        <v>0</v>
      </c>
      <c r="I7" s="24"/>
    </row>
    <row r="8" spans="1:9" ht="27.6" x14ac:dyDescent="0.3">
      <c r="A8" s="16" t="s">
        <v>120</v>
      </c>
      <c r="B8" s="10" t="s">
        <v>334</v>
      </c>
      <c r="C8" s="10" t="s">
        <v>335</v>
      </c>
      <c r="D8" s="22"/>
      <c r="E8" s="23"/>
      <c r="F8" s="23"/>
      <c r="G8" s="22"/>
      <c r="H8" s="22">
        <f t="shared" si="0"/>
        <v>0</v>
      </c>
      <c r="I8" s="24"/>
    </row>
    <row r="9" spans="1:9" ht="27.6" x14ac:dyDescent="0.3">
      <c r="A9" s="16" t="s">
        <v>121</v>
      </c>
      <c r="B9" s="10" t="s">
        <v>336</v>
      </c>
      <c r="C9" s="10" t="s">
        <v>337</v>
      </c>
      <c r="D9" s="22"/>
      <c r="E9" s="23"/>
      <c r="F9" s="23"/>
      <c r="G9" s="22"/>
      <c r="H9" s="22">
        <f t="shared" si="0"/>
        <v>0</v>
      </c>
      <c r="I9" s="24"/>
    </row>
    <row r="10" spans="1:9" ht="15.6" x14ac:dyDescent="0.3">
      <c r="A10" s="16" t="s">
        <v>122</v>
      </c>
      <c r="B10" s="10" t="s">
        <v>123</v>
      </c>
      <c r="C10" s="10" t="s">
        <v>338</v>
      </c>
      <c r="D10" s="22"/>
      <c r="E10" s="23"/>
      <c r="F10" s="23"/>
      <c r="G10" s="22"/>
      <c r="H10" s="22">
        <f t="shared" si="0"/>
        <v>0</v>
      </c>
      <c r="I10" s="24"/>
    </row>
    <row r="11" spans="1:9" ht="15.6" x14ac:dyDescent="0.3">
      <c r="A11" s="16" t="s">
        <v>124</v>
      </c>
      <c r="B11" s="10" t="s">
        <v>339</v>
      </c>
      <c r="C11" s="10" t="s">
        <v>340</v>
      </c>
      <c r="D11" s="22"/>
      <c r="E11" s="23"/>
      <c r="F11" s="23"/>
      <c r="G11" s="22"/>
      <c r="H11" s="22">
        <f t="shared" si="0"/>
        <v>0</v>
      </c>
      <c r="I11" s="24"/>
    </row>
    <row r="12" spans="1:9" ht="27.6" x14ac:dyDescent="0.3">
      <c r="A12" s="16" t="s">
        <v>125</v>
      </c>
      <c r="B12" s="10" t="s">
        <v>341</v>
      </c>
      <c r="C12" s="10" t="s">
        <v>342</v>
      </c>
      <c r="D12" s="22"/>
      <c r="E12" s="23"/>
      <c r="F12" s="23"/>
      <c r="G12" s="22"/>
      <c r="H12" s="22">
        <f t="shared" si="0"/>
        <v>0</v>
      </c>
      <c r="I12" s="24"/>
    </row>
    <row r="13" spans="1:9" ht="27.6" x14ac:dyDescent="0.3">
      <c r="A13" s="16" t="s">
        <v>126</v>
      </c>
      <c r="B13" s="10" t="s">
        <v>343</v>
      </c>
      <c r="C13" s="10" t="s">
        <v>344</v>
      </c>
      <c r="D13" s="22"/>
      <c r="E13" s="23"/>
      <c r="F13" s="23"/>
      <c r="G13" s="22"/>
      <c r="H13" s="22">
        <f t="shared" si="0"/>
        <v>0</v>
      </c>
      <c r="I13" s="24"/>
    </row>
    <row r="14" spans="1:9" ht="27.6" x14ac:dyDescent="0.3">
      <c r="A14" s="16" t="s">
        <v>127</v>
      </c>
      <c r="B14" s="10" t="s">
        <v>345</v>
      </c>
      <c r="C14" s="10" t="s">
        <v>346</v>
      </c>
      <c r="D14" s="22"/>
      <c r="E14" s="23"/>
      <c r="F14" s="23"/>
      <c r="G14" s="22"/>
      <c r="H14" s="22">
        <f t="shared" si="0"/>
        <v>0</v>
      </c>
      <c r="I14" s="24"/>
    </row>
    <row r="15" spans="1:9" ht="27.6" x14ac:dyDescent="0.3">
      <c r="A15" s="16" t="s">
        <v>128</v>
      </c>
      <c r="B15" s="10" t="s">
        <v>347</v>
      </c>
      <c r="C15" s="10" t="s">
        <v>348</v>
      </c>
      <c r="D15" s="22"/>
      <c r="E15" s="23"/>
      <c r="F15" s="23"/>
      <c r="G15" s="22"/>
      <c r="H15" s="22">
        <f t="shared" si="0"/>
        <v>0</v>
      </c>
      <c r="I15" s="24"/>
    </row>
    <row r="16" spans="1:9" ht="15.6" x14ac:dyDescent="0.3">
      <c r="A16" s="16" t="s">
        <v>129</v>
      </c>
      <c r="B16" s="10" t="s">
        <v>349</v>
      </c>
      <c r="C16" s="10" t="s">
        <v>350</v>
      </c>
      <c r="D16" s="22"/>
      <c r="E16" s="23"/>
      <c r="F16" s="23"/>
      <c r="G16" s="22"/>
      <c r="H16" s="22">
        <f t="shared" si="0"/>
        <v>0</v>
      </c>
      <c r="I16" s="24"/>
    </row>
    <row r="17" spans="1:9" ht="27.6" x14ac:dyDescent="0.3">
      <c r="A17" s="16" t="s">
        <v>130</v>
      </c>
      <c r="B17" s="10" t="s">
        <v>351</v>
      </c>
      <c r="C17" s="10" t="s">
        <v>352</v>
      </c>
      <c r="D17" s="22"/>
      <c r="E17" s="23"/>
      <c r="F17" s="23"/>
      <c r="G17" s="22"/>
      <c r="H17" s="22">
        <f t="shared" si="0"/>
        <v>0</v>
      </c>
      <c r="I17" s="24"/>
    </row>
    <row r="18" spans="1:9" ht="27.6" x14ac:dyDescent="0.3">
      <c r="A18" s="16" t="s">
        <v>131</v>
      </c>
      <c r="B18" s="10" t="s">
        <v>353</v>
      </c>
      <c r="C18" s="10" t="s">
        <v>354</v>
      </c>
      <c r="D18" s="22"/>
      <c r="E18" s="23"/>
      <c r="F18" s="23"/>
      <c r="G18" s="22"/>
      <c r="H18" s="22">
        <f t="shared" si="0"/>
        <v>0</v>
      </c>
      <c r="I18" s="24"/>
    </row>
    <row r="19" spans="1:9" ht="15.6" x14ac:dyDescent="0.3">
      <c r="A19" s="16" t="s">
        <v>132</v>
      </c>
      <c r="B19" s="10" t="s">
        <v>355</v>
      </c>
      <c r="C19" s="10" t="s">
        <v>356</v>
      </c>
      <c r="D19" s="22"/>
      <c r="E19" s="23"/>
      <c r="F19" s="23"/>
      <c r="G19" s="22"/>
      <c r="H19" s="22">
        <f t="shared" si="0"/>
        <v>0</v>
      </c>
      <c r="I19" s="24"/>
    </row>
    <row r="20" spans="1:9" ht="27.6" x14ac:dyDescent="0.3">
      <c r="A20" s="16" t="s">
        <v>133</v>
      </c>
      <c r="B20" s="10" t="s">
        <v>357</v>
      </c>
      <c r="C20" s="10" t="s">
        <v>358</v>
      </c>
      <c r="D20" s="22"/>
      <c r="E20" s="23"/>
      <c r="F20" s="23"/>
      <c r="G20" s="22"/>
      <c r="H20" s="22">
        <f t="shared" si="0"/>
        <v>0</v>
      </c>
      <c r="I20" s="24"/>
    </row>
    <row r="21" spans="1:9" ht="15.6" x14ac:dyDescent="0.3">
      <c r="A21" s="16" t="s">
        <v>134</v>
      </c>
      <c r="B21" s="10" t="s">
        <v>359</v>
      </c>
      <c r="C21" s="10" t="s">
        <v>360</v>
      </c>
      <c r="D21" s="22"/>
      <c r="E21" s="23"/>
      <c r="F21" s="23"/>
      <c r="G21" s="22"/>
      <c r="H21" s="22">
        <f t="shared" si="0"/>
        <v>0</v>
      </c>
      <c r="I21" s="24"/>
    </row>
    <row r="22" spans="1:9" ht="15.6" x14ac:dyDescent="0.3">
      <c r="A22" s="16" t="s">
        <v>135</v>
      </c>
      <c r="B22" s="10" t="s">
        <v>361</v>
      </c>
      <c r="C22" s="10" t="s">
        <v>362</v>
      </c>
      <c r="D22" s="22"/>
      <c r="E22" s="23"/>
      <c r="F22" s="23"/>
      <c r="G22" s="22"/>
      <c r="H22" s="22">
        <f t="shared" si="0"/>
        <v>0</v>
      </c>
      <c r="I22" s="24"/>
    </row>
    <row r="23" spans="1:9" ht="27.6" x14ac:dyDescent="0.3">
      <c r="A23" s="16" t="s">
        <v>136</v>
      </c>
      <c r="B23" s="10" t="s">
        <v>363</v>
      </c>
      <c r="C23" s="10" t="s">
        <v>364</v>
      </c>
      <c r="D23" s="22"/>
      <c r="E23" s="23"/>
      <c r="F23" s="23"/>
      <c r="G23" s="22"/>
      <c r="H23" s="22">
        <f t="shared" si="0"/>
        <v>0</v>
      </c>
      <c r="I23" s="24"/>
    </row>
    <row r="24" spans="1:9" ht="27.6" x14ac:dyDescent="0.3">
      <c r="A24" s="16" t="s">
        <v>137</v>
      </c>
      <c r="B24" s="10" t="s">
        <v>365</v>
      </c>
      <c r="C24" s="10" t="s">
        <v>366</v>
      </c>
      <c r="D24" s="22"/>
      <c r="E24" s="23"/>
      <c r="F24" s="23"/>
      <c r="G24" s="22"/>
      <c r="H24" s="22">
        <f t="shared" si="0"/>
        <v>0</v>
      </c>
      <c r="I24" s="24"/>
    </row>
    <row r="25" spans="1:9" ht="15.6" x14ac:dyDescent="0.3">
      <c r="A25" s="16" t="s">
        <v>138</v>
      </c>
      <c r="B25" s="10" t="s">
        <v>367</v>
      </c>
      <c r="C25" s="10" t="s">
        <v>368</v>
      </c>
      <c r="D25" s="22"/>
      <c r="E25" s="23"/>
      <c r="F25" s="23"/>
      <c r="G25" s="22"/>
      <c r="H25" s="22">
        <f t="shared" si="0"/>
        <v>0</v>
      </c>
      <c r="I25" s="24"/>
    </row>
    <row r="26" spans="1:9" ht="27.6" x14ac:dyDescent="0.3">
      <c r="A26" s="16" t="s">
        <v>139</v>
      </c>
      <c r="B26" s="10" t="s">
        <v>369</v>
      </c>
      <c r="C26" s="10" t="s">
        <v>370</v>
      </c>
      <c r="D26" s="22"/>
      <c r="E26" s="23"/>
      <c r="F26" s="23"/>
      <c r="G26" s="22"/>
      <c r="H26" s="22">
        <f t="shared" si="0"/>
        <v>0</v>
      </c>
      <c r="I26" s="24"/>
    </row>
    <row r="27" spans="1:9" ht="27.6" x14ac:dyDescent="0.3">
      <c r="A27" s="16" t="s">
        <v>140</v>
      </c>
      <c r="B27" s="10" t="s">
        <v>162</v>
      </c>
      <c r="C27" s="10" t="s">
        <v>371</v>
      </c>
      <c r="D27" s="22"/>
      <c r="E27" s="23"/>
      <c r="F27" s="23"/>
      <c r="G27" s="22"/>
      <c r="H27" s="22">
        <f t="shared" si="0"/>
        <v>0</v>
      </c>
      <c r="I27" s="24"/>
    </row>
    <row r="28" spans="1:9" ht="15.6" x14ac:dyDescent="0.3">
      <c r="A28" s="16" t="s">
        <v>141</v>
      </c>
      <c r="B28" s="10" t="s">
        <v>372</v>
      </c>
      <c r="C28" s="10" t="s">
        <v>373</v>
      </c>
      <c r="D28" s="22"/>
      <c r="E28" s="23"/>
      <c r="F28" s="23"/>
      <c r="G28" s="22"/>
      <c r="H28" s="22">
        <f t="shared" si="0"/>
        <v>0</v>
      </c>
      <c r="I28" s="24"/>
    </row>
    <row r="29" spans="1:9" ht="15.6" x14ac:dyDescent="0.3">
      <c r="A29" s="16" t="s">
        <v>142</v>
      </c>
      <c r="B29" s="10" t="s">
        <v>374</v>
      </c>
      <c r="C29" s="10" t="s">
        <v>375</v>
      </c>
      <c r="D29" s="22"/>
      <c r="E29" s="23"/>
      <c r="F29" s="23"/>
      <c r="G29" s="22"/>
      <c r="H29" s="22">
        <f t="shared" si="0"/>
        <v>0</v>
      </c>
      <c r="I29" s="24"/>
    </row>
    <row r="30" spans="1:9" ht="15.6" x14ac:dyDescent="0.3">
      <c r="A30" s="16" t="s">
        <v>143</v>
      </c>
      <c r="B30" s="10" t="s">
        <v>376</v>
      </c>
      <c r="C30" s="10" t="s">
        <v>377</v>
      </c>
      <c r="D30" s="22"/>
      <c r="E30" s="23"/>
      <c r="F30" s="23"/>
      <c r="G30" s="22"/>
      <c r="H30" s="22">
        <f t="shared" si="0"/>
        <v>0</v>
      </c>
      <c r="I30" s="24"/>
    </row>
    <row r="31" spans="1:9" ht="27.6" x14ac:dyDescent="0.3">
      <c r="A31" s="16" t="s">
        <v>144</v>
      </c>
      <c r="B31" s="10" t="s">
        <v>378</v>
      </c>
      <c r="C31" s="10" t="s">
        <v>379</v>
      </c>
      <c r="D31" s="22"/>
      <c r="E31" s="23"/>
      <c r="F31" s="23"/>
      <c r="G31" s="22"/>
      <c r="H31" s="22">
        <f t="shared" si="0"/>
        <v>0</v>
      </c>
      <c r="I31" s="24"/>
    </row>
    <row r="32" spans="1:9" ht="15.6" x14ac:dyDescent="0.3">
      <c r="A32" s="16" t="s">
        <v>145</v>
      </c>
      <c r="B32" s="10" t="s">
        <v>380</v>
      </c>
      <c r="C32" s="10" t="s">
        <v>381</v>
      </c>
      <c r="D32" s="22"/>
      <c r="E32" s="23"/>
      <c r="F32" s="23"/>
      <c r="G32" s="22"/>
      <c r="H32" s="22">
        <f t="shared" si="0"/>
        <v>0</v>
      </c>
      <c r="I32" s="24"/>
    </row>
    <row r="33" spans="1:9" ht="15.6" x14ac:dyDescent="0.3">
      <c r="A33" s="16" t="s">
        <v>146</v>
      </c>
      <c r="B33" s="10" t="s">
        <v>382</v>
      </c>
      <c r="C33" s="10" t="s">
        <v>383</v>
      </c>
      <c r="D33" s="22"/>
      <c r="E33" s="23"/>
      <c r="F33" s="23"/>
      <c r="G33" s="22"/>
      <c r="H33" s="22">
        <f t="shared" si="0"/>
        <v>0</v>
      </c>
      <c r="I33" s="24"/>
    </row>
    <row r="34" spans="1:9" ht="15.6" x14ac:dyDescent="0.3">
      <c r="A34" s="16" t="s">
        <v>147</v>
      </c>
      <c r="B34" s="10" t="s">
        <v>384</v>
      </c>
      <c r="C34" s="10" t="s">
        <v>385</v>
      </c>
      <c r="D34" s="22"/>
      <c r="E34" s="23"/>
      <c r="F34" s="23"/>
      <c r="G34" s="22"/>
      <c r="H34" s="22">
        <f t="shared" si="0"/>
        <v>0</v>
      </c>
      <c r="I34" s="24"/>
    </row>
    <row r="35" spans="1:9" ht="15.6" x14ac:dyDescent="0.3">
      <c r="A35" s="16" t="s">
        <v>148</v>
      </c>
      <c r="B35" s="10" t="s">
        <v>386</v>
      </c>
      <c r="C35" s="10" t="s">
        <v>387</v>
      </c>
      <c r="D35" s="22"/>
      <c r="E35" s="23"/>
      <c r="F35" s="23"/>
      <c r="G35" s="22"/>
      <c r="H35" s="22">
        <f t="shared" si="0"/>
        <v>0</v>
      </c>
      <c r="I35" s="24"/>
    </row>
    <row r="36" spans="1:9" ht="15.6" x14ac:dyDescent="0.3">
      <c r="A36" s="16" t="s">
        <v>149</v>
      </c>
      <c r="B36" s="10" t="s">
        <v>388</v>
      </c>
      <c r="C36" s="10" t="s">
        <v>389</v>
      </c>
      <c r="D36" s="22"/>
      <c r="E36" s="23"/>
      <c r="F36" s="23"/>
      <c r="G36" s="22"/>
      <c r="H36" s="22">
        <f t="shared" si="0"/>
        <v>0</v>
      </c>
      <c r="I36" s="24"/>
    </row>
    <row r="37" spans="1:9" ht="15.6" x14ac:dyDescent="0.3">
      <c r="A37" s="16" t="s">
        <v>150</v>
      </c>
      <c r="B37" s="10" t="s">
        <v>390</v>
      </c>
      <c r="C37" s="10" t="s">
        <v>391</v>
      </c>
      <c r="D37" s="22"/>
      <c r="E37" s="23"/>
      <c r="F37" s="23"/>
      <c r="G37" s="22"/>
      <c r="H37" s="22">
        <f t="shared" si="0"/>
        <v>0</v>
      </c>
      <c r="I37" s="24"/>
    </row>
    <row r="40" spans="1:9" ht="15.6" x14ac:dyDescent="0.25">
      <c r="A40" s="20" t="s">
        <v>280</v>
      </c>
      <c r="B40" s="34"/>
      <c r="C40" s="34"/>
      <c r="D40" s="34"/>
      <c r="E40" s="34"/>
      <c r="F40" s="34"/>
      <c r="G40" s="34"/>
      <c r="H40" s="7">
        <f>SUM(H4:H37)</f>
        <v>0</v>
      </c>
    </row>
  </sheetData>
  <mergeCells count="2">
    <mergeCell ref="A1:H1"/>
    <mergeCell ref="B40:G40"/>
  </mergeCells>
  <conditionalFormatting sqref="D4:D37">
    <cfRule type="expression" dxfId="5" priority="1">
      <formula>INDIRECT("D"&amp;ROW())="Met"</formula>
    </cfRule>
    <cfRule type="expression" dxfId="4" priority="2">
      <formula>INDIRECT("D"&amp;ROW())="Partial"</formula>
    </cfRule>
    <cfRule type="expression" dxfId="3" priority="3">
      <formula>INDIRECT("D"&amp;ROW())="Not Met"</formula>
    </cfRule>
  </conditionalFormatting>
  <conditionalFormatting sqref="G4:G37">
    <cfRule type="expression" dxfId="2" priority="4">
      <formula>$G4="Low"</formula>
    </cfRule>
    <cfRule type="expression" dxfId="1" priority="5">
      <formula>$G4="Medium"</formula>
    </cfRule>
    <cfRule type="expression" dxfId="0" priority="6">
      <formula>$G4="High"</formula>
    </cfRule>
  </conditionalFormatting>
  <dataValidations count="2">
    <dataValidation type="list" allowBlank="1" showInputMessage="1" showErrorMessage="1" sqref="D4:D37" xr:uid="{D2F5E774-F27B-4CBE-A4D6-6E4C38FF26E6}">
      <formula1>StatusList</formula1>
    </dataValidation>
    <dataValidation type="list" allowBlank="1" showInputMessage="1" showErrorMessage="1" sqref="G4:G37" xr:uid="{48772AE6-1779-4D5D-A89C-3B3DD0200925}">
      <formula1>PriorityList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Cover</vt:lpstr>
      <vt:lpstr>_lists</vt:lpstr>
      <vt:lpstr>Clauses 4-10</vt:lpstr>
      <vt:lpstr>Annex A - A.5</vt:lpstr>
      <vt:lpstr>Annex A - A.6</vt:lpstr>
      <vt:lpstr>Annex A - A.7</vt:lpstr>
      <vt:lpstr>Annex A - A.8</vt:lpstr>
      <vt:lpstr>PriorityList</vt:lpstr>
      <vt:lpstr>StatusList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AAZAF RITHA.J it23151710</cp:lastModifiedBy>
  <dcterms:created xsi:type="dcterms:W3CDTF">2025-10-13T08:51:58Z</dcterms:created>
  <dcterms:modified xsi:type="dcterms:W3CDTF">2025-10-14T14:56:23Z</dcterms:modified>
</cp:coreProperties>
</file>