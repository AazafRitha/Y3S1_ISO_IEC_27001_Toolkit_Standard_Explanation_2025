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azaf\Desktop\IT23151710 - Toolkit\04_Risk_Assessment_and_Treatment\"/>
    </mc:Choice>
  </mc:AlternateContent>
  <xr:revisionPtr revIDLastSave="0" documentId="13_ncr:1_{201A4754-6F60-4BC2-B10A-1A735132D20A}" xr6:coauthVersionLast="47" xr6:coauthVersionMax="47" xr10:uidLastSave="{00000000-0000-0000-0000-000000000000}"/>
  <bookViews>
    <workbookView xWindow="-96" yWindow="0" windowWidth="14016" windowHeight="13056" firstSheet="2" activeTab="2" xr2:uid="{00000000-000D-0000-FFFF-FFFF00000000}"/>
  </bookViews>
  <sheets>
    <sheet name="Cover Page" sheetId="2" r:id="rId1"/>
    <sheet name="Risk Guide" sheetId="4" r:id="rId2"/>
    <sheet name="ISMS_Risk_Register" sheetId="1" r:id="rId3"/>
    <sheet name="Risk Treatment Plan" sheetId="6" r:id="rId4"/>
    <sheet name="Annex A Controls"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5" i="1" l="1"/>
  <c r="H205" i="1" s="1"/>
  <c r="G204" i="1"/>
  <c r="H204" i="1" s="1"/>
  <c r="G203" i="1"/>
  <c r="H203" i="1" s="1"/>
  <c r="G202" i="1"/>
  <c r="H202" i="1" s="1"/>
  <c r="G201" i="1"/>
  <c r="H201" i="1" s="1"/>
  <c r="G200" i="1"/>
  <c r="H200" i="1" s="1"/>
  <c r="G199" i="1"/>
  <c r="H199" i="1" s="1"/>
  <c r="G198" i="1"/>
  <c r="H198" i="1" s="1"/>
  <c r="G197" i="1"/>
  <c r="H197" i="1" s="1"/>
  <c r="G196" i="1"/>
  <c r="H196" i="1" s="1"/>
  <c r="G195" i="1"/>
  <c r="H195" i="1" s="1"/>
  <c r="G194" i="1"/>
  <c r="H194" i="1" s="1"/>
  <c r="G193" i="1"/>
  <c r="H193" i="1" s="1"/>
  <c r="G192" i="1"/>
  <c r="H192" i="1" s="1"/>
  <c r="G191" i="1"/>
  <c r="H191" i="1" s="1"/>
  <c r="G190" i="1"/>
  <c r="H190" i="1" s="1"/>
  <c r="G189" i="1"/>
  <c r="H189" i="1" s="1"/>
  <c r="G188" i="1"/>
  <c r="H188" i="1" s="1"/>
  <c r="G187" i="1"/>
  <c r="H187" i="1" s="1"/>
  <c r="G186" i="1"/>
  <c r="H186" i="1" s="1"/>
  <c r="G185" i="1"/>
  <c r="H185" i="1" s="1"/>
  <c r="G184" i="1"/>
  <c r="H184" i="1" s="1"/>
  <c r="G183" i="1"/>
  <c r="H183" i="1" s="1"/>
  <c r="G182" i="1"/>
  <c r="H182" i="1" s="1"/>
  <c r="G181" i="1"/>
  <c r="H181" i="1" s="1"/>
  <c r="G180" i="1"/>
  <c r="H180" i="1" s="1"/>
  <c r="G179" i="1"/>
  <c r="H179" i="1" s="1"/>
  <c r="G178" i="1"/>
  <c r="H178" i="1" s="1"/>
  <c r="G177" i="1"/>
  <c r="H177" i="1" s="1"/>
  <c r="G176" i="1"/>
  <c r="H176" i="1" s="1"/>
  <c r="G175" i="1"/>
  <c r="H175" i="1" s="1"/>
  <c r="G174" i="1"/>
  <c r="H174" i="1" s="1"/>
  <c r="G173" i="1"/>
  <c r="H173" i="1" s="1"/>
  <c r="G172" i="1"/>
  <c r="H172" i="1" s="1"/>
  <c r="G171" i="1"/>
  <c r="H171" i="1" s="1"/>
  <c r="G170" i="1"/>
  <c r="H170" i="1" s="1"/>
  <c r="G169" i="1"/>
  <c r="H169" i="1" s="1"/>
  <c r="G168" i="1"/>
  <c r="H168" i="1" s="1"/>
  <c r="G167" i="1"/>
  <c r="H167" i="1" s="1"/>
  <c r="G166" i="1"/>
  <c r="H166" i="1" s="1"/>
  <c r="G165" i="1"/>
  <c r="H165" i="1" s="1"/>
  <c r="G164" i="1"/>
  <c r="H164" i="1" s="1"/>
  <c r="G163" i="1"/>
  <c r="H163" i="1" s="1"/>
  <c r="G162" i="1"/>
  <c r="H162" i="1" s="1"/>
  <c r="G161" i="1"/>
  <c r="H161" i="1" s="1"/>
  <c r="G160" i="1"/>
  <c r="H160" i="1" s="1"/>
  <c r="G159" i="1"/>
  <c r="H159" i="1" s="1"/>
  <c r="G158" i="1"/>
  <c r="H158" i="1" s="1"/>
  <c r="G157" i="1"/>
  <c r="H157" i="1" s="1"/>
  <c r="G156" i="1"/>
  <c r="H156" i="1" s="1"/>
  <c r="G155" i="1"/>
  <c r="H155" i="1" s="1"/>
  <c r="G154" i="1"/>
  <c r="H154" i="1" s="1"/>
  <c r="G153" i="1"/>
  <c r="H153" i="1" s="1"/>
  <c r="G152" i="1"/>
  <c r="H152" i="1" s="1"/>
  <c r="G151" i="1"/>
  <c r="H151" i="1" s="1"/>
  <c r="G150" i="1"/>
  <c r="H150" i="1" s="1"/>
  <c r="G149" i="1"/>
  <c r="H149" i="1" s="1"/>
  <c r="G148" i="1"/>
  <c r="H148" i="1" s="1"/>
  <c r="G147" i="1"/>
  <c r="H147" i="1" s="1"/>
  <c r="G146" i="1"/>
  <c r="H146" i="1" s="1"/>
  <c r="G145" i="1"/>
  <c r="H145" i="1" s="1"/>
  <c r="G144" i="1"/>
  <c r="H144" i="1" s="1"/>
  <c r="G143" i="1"/>
  <c r="H143" i="1" s="1"/>
  <c r="G142" i="1"/>
  <c r="H142" i="1" s="1"/>
  <c r="G141" i="1"/>
  <c r="H141" i="1" s="1"/>
  <c r="G140" i="1"/>
  <c r="H140" i="1" s="1"/>
  <c r="G139" i="1"/>
  <c r="H139" i="1" s="1"/>
  <c r="G138" i="1"/>
  <c r="H138" i="1" s="1"/>
  <c r="G137" i="1"/>
  <c r="H137" i="1" s="1"/>
  <c r="G136" i="1"/>
  <c r="H136" i="1" s="1"/>
  <c r="G135" i="1"/>
  <c r="H135" i="1" s="1"/>
  <c r="G134" i="1"/>
  <c r="H134" i="1" s="1"/>
  <c r="G133" i="1"/>
  <c r="H133" i="1" s="1"/>
  <c r="G132" i="1"/>
  <c r="H132" i="1" s="1"/>
  <c r="G131" i="1"/>
  <c r="H131" i="1" s="1"/>
  <c r="G130" i="1"/>
  <c r="H130" i="1" s="1"/>
  <c r="G129" i="1"/>
  <c r="H129" i="1" s="1"/>
  <c r="G128" i="1"/>
  <c r="H128" i="1" s="1"/>
  <c r="G127" i="1"/>
  <c r="H127" i="1" s="1"/>
  <c r="G126" i="1"/>
  <c r="H126" i="1" s="1"/>
  <c r="G125" i="1"/>
  <c r="H125" i="1" s="1"/>
  <c r="G124" i="1"/>
  <c r="H124" i="1" s="1"/>
  <c r="G123" i="1"/>
  <c r="H123" i="1" s="1"/>
  <c r="G122" i="1"/>
  <c r="H122" i="1" s="1"/>
  <c r="G121" i="1"/>
  <c r="H121" i="1" s="1"/>
  <c r="G120" i="1"/>
  <c r="H120" i="1" s="1"/>
  <c r="G119" i="1"/>
  <c r="H119" i="1" s="1"/>
  <c r="G118" i="1"/>
  <c r="H118" i="1" s="1"/>
  <c r="G117" i="1"/>
  <c r="H117" i="1" s="1"/>
  <c r="G116" i="1"/>
  <c r="H116" i="1" s="1"/>
  <c r="G115" i="1"/>
  <c r="H115" i="1" s="1"/>
  <c r="G114" i="1"/>
  <c r="H114" i="1" s="1"/>
  <c r="G113" i="1"/>
  <c r="H113" i="1" s="1"/>
  <c r="G112" i="1"/>
  <c r="H112" i="1" s="1"/>
  <c r="G111" i="1"/>
  <c r="H111" i="1" s="1"/>
  <c r="G110" i="1"/>
  <c r="H110" i="1" s="1"/>
  <c r="G109" i="1"/>
  <c r="H109" i="1" s="1"/>
  <c r="G108" i="1"/>
  <c r="H108" i="1" s="1"/>
  <c r="G107" i="1"/>
  <c r="H107" i="1" s="1"/>
  <c r="G106" i="1"/>
  <c r="H106" i="1" s="1"/>
  <c r="G105" i="1"/>
  <c r="H105" i="1" s="1"/>
  <c r="G104" i="1"/>
  <c r="H104" i="1" s="1"/>
  <c r="G103" i="1"/>
  <c r="H103" i="1" s="1"/>
  <c r="G102" i="1"/>
  <c r="H102" i="1" s="1"/>
  <c r="G101" i="1"/>
  <c r="H101" i="1" s="1"/>
  <c r="G100" i="1"/>
  <c r="H100" i="1" s="1"/>
  <c r="G99" i="1"/>
  <c r="H99" i="1" s="1"/>
  <c r="G98" i="1"/>
  <c r="H98" i="1" s="1"/>
  <c r="G97" i="1"/>
  <c r="H97" i="1" s="1"/>
  <c r="G96" i="1"/>
  <c r="H96" i="1" s="1"/>
  <c r="G95" i="1"/>
  <c r="H95" i="1" s="1"/>
  <c r="G94" i="1"/>
  <c r="H94" i="1" s="1"/>
  <c r="G93" i="1"/>
  <c r="H93" i="1" s="1"/>
  <c r="G92" i="1"/>
  <c r="H92" i="1" s="1"/>
  <c r="G91" i="1"/>
  <c r="H91" i="1" s="1"/>
  <c r="G90" i="1"/>
  <c r="H90" i="1" s="1"/>
  <c r="G89" i="1"/>
  <c r="H89" i="1" s="1"/>
  <c r="G88" i="1"/>
  <c r="H88" i="1" s="1"/>
  <c r="G87" i="1"/>
  <c r="H87" i="1" s="1"/>
  <c r="G86" i="1"/>
  <c r="H86" i="1" s="1"/>
  <c r="G85" i="1"/>
  <c r="H85" i="1" s="1"/>
  <c r="G84" i="1"/>
  <c r="H84" i="1" s="1"/>
  <c r="G83" i="1"/>
  <c r="H83" i="1" s="1"/>
  <c r="G82" i="1"/>
  <c r="H82" i="1" s="1"/>
  <c r="G81" i="1"/>
  <c r="H81" i="1" s="1"/>
  <c r="G80" i="1"/>
  <c r="H80" i="1" s="1"/>
  <c r="G79" i="1"/>
  <c r="H79" i="1" s="1"/>
  <c r="G78" i="1"/>
  <c r="H78" i="1" s="1"/>
  <c r="G77" i="1"/>
  <c r="H77" i="1" s="1"/>
  <c r="G76" i="1"/>
  <c r="H76" i="1" s="1"/>
  <c r="G75" i="1"/>
  <c r="H75" i="1" s="1"/>
  <c r="G74" i="1"/>
  <c r="H74" i="1" s="1"/>
  <c r="G73" i="1"/>
  <c r="H73" i="1" s="1"/>
  <c r="G72" i="1"/>
  <c r="H72" i="1" s="1"/>
  <c r="G71" i="1"/>
  <c r="H71" i="1" s="1"/>
  <c r="G70" i="1"/>
  <c r="H70" i="1" s="1"/>
  <c r="G69" i="1"/>
  <c r="H69" i="1" s="1"/>
  <c r="G68" i="1"/>
  <c r="H68" i="1" s="1"/>
  <c r="G67" i="1"/>
  <c r="H67" i="1" s="1"/>
  <c r="G66" i="1"/>
  <c r="H66" i="1" s="1"/>
  <c r="G65" i="1"/>
  <c r="H65" i="1" s="1"/>
  <c r="G64" i="1"/>
  <c r="H64" i="1" s="1"/>
  <c r="G63" i="1"/>
  <c r="H63" i="1" s="1"/>
  <c r="G62" i="1"/>
  <c r="H62" i="1" s="1"/>
  <c r="G61" i="1"/>
  <c r="H61" i="1" s="1"/>
  <c r="G60" i="1"/>
  <c r="H60" i="1" s="1"/>
  <c r="G59" i="1"/>
  <c r="H59" i="1" s="1"/>
  <c r="G58" i="1"/>
  <c r="H58" i="1" s="1"/>
  <c r="G57" i="1"/>
  <c r="H57" i="1" s="1"/>
  <c r="G56" i="1"/>
  <c r="H56" i="1" s="1"/>
  <c r="G55" i="1"/>
  <c r="H55" i="1" s="1"/>
  <c r="G54" i="1"/>
  <c r="H54" i="1" s="1"/>
  <c r="G53" i="1"/>
  <c r="H53" i="1" s="1"/>
  <c r="G52" i="1"/>
  <c r="H52" i="1" s="1"/>
  <c r="G51" i="1"/>
  <c r="H51" i="1" s="1"/>
  <c r="G50" i="1"/>
  <c r="H50" i="1" s="1"/>
  <c r="G49" i="1"/>
  <c r="H49" i="1" s="1"/>
  <c r="G48" i="1"/>
  <c r="H48" i="1" s="1"/>
  <c r="G47" i="1"/>
  <c r="H47" i="1" s="1"/>
  <c r="G46" i="1"/>
  <c r="H46" i="1" s="1"/>
  <c r="G45" i="1"/>
  <c r="H45" i="1" s="1"/>
  <c r="G44" i="1"/>
  <c r="H44" i="1" s="1"/>
  <c r="G43" i="1"/>
  <c r="H43" i="1" s="1"/>
  <c r="G42" i="1"/>
  <c r="H42" i="1" s="1"/>
  <c r="G41" i="1"/>
  <c r="H41" i="1" s="1"/>
  <c r="G40" i="1"/>
  <c r="H40" i="1" s="1"/>
  <c r="G39" i="1"/>
  <c r="H39" i="1" s="1"/>
  <c r="G38" i="1"/>
  <c r="H38" i="1" s="1"/>
  <c r="G37" i="1"/>
  <c r="H37" i="1" s="1"/>
  <c r="G36" i="1"/>
  <c r="H36" i="1" s="1"/>
  <c r="G35" i="1"/>
  <c r="H35" i="1" s="1"/>
  <c r="G34" i="1"/>
  <c r="H34" i="1" s="1"/>
  <c r="G33" i="1"/>
  <c r="H33" i="1" s="1"/>
  <c r="G32" i="1"/>
  <c r="H32" i="1" s="1"/>
  <c r="G31" i="1"/>
  <c r="H31" i="1" s="1"/>
  <c r="G30" i="1"/>
  <c r="H30" i="1" s="1"/>
  <c r="G29" i="1"/>
  <c r="H29" i="1" s="1"/>
  <c r="G28" i="1"/>
  <c r="H28" i="1" s="1"/>
  <c r="G27" i="1"/>
  <c r="H27" i="1" s="1"/>
  <c r="G26" i="1"/>
  <c r="H26" i="1" s="1"/>
  <c r="G25" i="1"/>
  <c r="H25" i="1" s="1"/>
  <c r="G24" i="1"/>
  <c r="H24" i="1" s="1"/>
  <c r="G23" i="1"/>
  <c r="H23" i="1" s="1"/>
  <c r="G22" i="1"/>
  <c r="H22" i="1" s="1"/>
  <c r="G21" i="1"/>
  <c r="H21" i="1" s="1"/>
  <c r="G20" i="1"/>
  <c r="H20" i="1" s="1"/>
  <c r="G19" i="1"/>
  <c r="H19" i="1" s="1"/>
  <c r="G18" i="1"/>
  <c r="H18" i="1" s="1"/>
  <c r="G17" i="1"/>
  <c r="H17" i="1" s="1"/>
  <c r="G16" i="1"/>
  <c r="H16" i="1" s="1"/>
  <c r="G15" i="1"/>
  <c r="H15" i="1" s="1"/>
  <c r="G14" i="1"/>
  <c r="H14" i="1" s="1"/>
  <c r="G13" i="1"/>
  <c r="H13" i="1" s="1"/>
  <c r="G12" i="1"/>
  <c r="H12" i="1" s="1"/>
  <c r="G11" i="1"/>
  <c r="H11" i="1" s="1"/>
  <c r="G10" i="1"/>
  <c r="H10" i="1" s="1"/>
  <c r="G9" i="1"/>
  <c r="H9" i="1" s="1"/>
  <c r="G8" i="1"/>
  <c r="H8" i="1" s="1"/>
  <c r="G7" i="1"/>
  <c r="H7" i="1" s="1"/>
  <c r="G6" i="1"/>
  <c r="H6" i="1" s="1"/>
</calcChain>
</file>

<file path=xl/sharedStrings.xml><?xml version="1.0" encoding="utf-8"?>
<sst xmlns="http://schemas.openxmlformats.org/spreadsheetml/2006/main" count="996" uniqueCount="726">
  <si>
    <t>ISO/IEC 27001:2022 – Information Security Risk Register</t>
  </si>
  <si>
    <t>Organization: &lt;Organization Name&gt;</t>
  </si>
  <si>
    <t>Purpose: This register records identified risks, their assessment (likelihood × impact), treatment options, and monitoring status as per ISO/IEC 27001:2022 Clauses 6.1.2 and 6.1.3.</t>
  </si>
  <si>
    <t>Risk ID</t>
  </si>
  <si>
    <t>Asset / Process</t>
  </si>
  <si>
    <t>Threat</t>
  </si>
  <si>
    <t>Vulnerability</t>
  </si>
  <si>
    <t>Likelihood (1–5)</t>
  </si>
  <si>
    <t>Impact (1–5)</t>
  </si>
  <si>
    <t>Risk Level</t>
  </si>
  <si>
    <t>Existing Controls</t>
  </si>
  <si>
    <t>Proposed Treatment</t>
  </si>
  <si>
    <t>Control Ref (Annex A)</t>
  </si>
  <si>
    <t>Risk Owner</t>
  </si>
  <si>
    <t>Status</t>
  </si>
  <si>
    <t>Review Date</t>
  </si>
  <si>
    <t>Comments / Notes</t>
  </si>
  <si>
    <t>RR-001</t>
  </si>
  <si>
    <t>Email System</t>
  </si>
  <si>
    <t>Phishing attack</t>
  </si>
  <si>
    <t>Insufficient awareness</t>
  </si>
  <si>
    <t>Staff training completed annually</t>
  </si>
  <si>
    <t>Conduct phishing-awareness campaign</t>
  </si>
  <si>
    <t>A.6.3</t>
  </si>
  <si>
    <t>HR Manager</t>
  </si>
  <si>
    <t>In Progress</t>
  </si>
  <si>
    <t>2025-10-14</t>
  </si>
  <si>
    <t>RR-002</t>
  </si>
  <si>
    <t>Database Server</t>
  </si>
  <si>
    <t>Hardware failure</t>
  </si>
  <si>
    <t>No redundancy</t>
  </si>
  <si>
    <t>Backups in place</t>
  </si>
  <si>
    <t>Implement failover system</t>
  </si>
  <si>
    <t>A.8.1</t>
  </si>
  <si>
    <t>IT Head</t>
  </si>
  <si>
    <t>Planned</t>
  </si>
  <si>
    <t>RR-003</t>
  </si>
  <si>
    <t>Office Building</t>
  </si>
  <si>
    <t>Unauthorized entry</t>
  </si>
  <si>
    <t>Weak door access</t>
  </si>
  <si>
    <t>Basic locks</t>
  </si>
  <si>
    <t>Install card access</t>
  </si>
  <si>
    <t>A.7.4</t>
  </si>
  <si>
    <t>Admin</t>
  </si>
  <si>
    <t>Closed</t>
  </si>
  <si>
    <t>RR-004</t>
  </si>
  <si>
    <t>&lt;Add Asset&gt;</t>
  </si>
  <si>
    <t>&lt;Add Threat&gt;</t>
  </si>
  <si>
    <t>&lt;Add Vulnerability&gt;</t>
  </si>
  <si>
    <t>&lt;Existing Controls&gt;</t>
  </si>
  <si>
    <t>&lt;Treatment Action&gt;</t>
  </si>
  <si>
    <t>&lt;Annex Ref&gt;</t>
  </si>
  <si>
    <t>&lt;Owner&gt;</t>
  </si>
  <si>
    <t>&lt;Status&gt;</t>
  </si>
  <si>
    <t>&lt;Date&gt;</t>
  </si>
  <si>
    <t>&lt;Remarks&gt;</t>
  </si>
  <si>
    <t>&lt;Organization Name&gt;</t>
  </si>
  <si>
    <t>Risk Register</t>
  </si>
  <si>
    <t>For ISO 27001:2022 Compliance</t>
  </si>
  <si>
    <t>Organization Name</t>
  </si>
  <si>
    <t>Risk Guide</t>
  </si>
  <si>
    <t>Version</t>
  </si>
  <si>
    <t>&lt;Version Number&gt;</t>
  </si>
  <si>
    <t>Date</t>
  </si>
  <si>
    <t>Risk Matrix</t>
  </si>
  <si>
    <t>Prepared by</t>
  </si>
  <si>
    <t>&lt;Department/Name&gt;</t>
  </si>
  <si>
    <t>Approved by</t>
  </si>
  <si>
    <t>&lt;Name, Title&gt;</t>
  </si>
  <si>
    <t>Confidentiality</t>
  </si>
  <si>
    <t>Confidential</t>
  </si>
  <si>
    <t>Document Reference</t>
  </si>
  <si>
    <t>&lt;Reference Number&gt;</t>
  </si>
  <si>
    <t>Risk Score (Likehood×Impact)</t>
  </si>
  <si>
    <t>RR-005</t>
  </si>
  <si>
    <t>RR-006</t>
  </si>
  <si>
    <t>RR-007</t>
  </si>
  <si>
    <t>RR-008</t>
  </si>
  <si>
    <t>RR-009</t>
  </si>
  <si>
    <t>RR-010</t>
  </si>
  <si>
    <t>RR-011</t>
  </si>
  <si>
    <t>RR-012</t>
  </si>
  <si>
    <t>RR-013</t>
  </si>
  <si>
    <t>RR-014</t>
  </si>
  <si>
    <t>RR-015</t>
  </si>
  <si>
    <t>RR-016</t>
  </si>
  <si>
    <t>RR-017</t>
  </si>
  <si>
    <t>RR-018</t>
  </si>
  <si>
    <t>RR-019</t>
  </si>
  <si>
    <t>RR-020</t>
  </si>
  <si>
    <t>RR-021</t>
  </si>
  <si>
    <t>RR-022</t>
  </si>
  <si>
    <t>RR-023</t>
  </si>
  <si>
    <t>RR-024</t>
  </si>
  <si>
    <t>RR-025</t>
  </si>
  <si>
    <t>RR-026</t>
  </si>
  <si>
    <t>RR-027</t>
  </si>
  <si>
    <t>RR-028</t>
  </si>
  <si>
    <t>RR-029</t>
  </si>
  <si>
    <t>RR-030</t>
  </si>
  <si>
    <t>RR-031</t>
  </si>
  <si>
    <t>RR-032</t>
  </si>
  <si>
    <t>RR-033</t>
  </si>
  <si>
    <t>RR-034</t>
  </si>
  <si>
    <t>RR-035</t>
  </si>
  <si>
    <t>RR-036</t>
  </si>
  <si>
    <t>RR-037</t>
  </si>
  <si>
    <t>RR-038</t>
  </si>
  <si>
    <t>RR-039</t>
  </si>
  <si>
    <t>RR-040</t>
  </si>
  <si>
    <t>RR-041</t>
  </si>
  <si>
    <t>RR-042</t>
  </si>
  <si>
    <t>RR-043</t>
  </si>
  <si>
    <t>RR-044</t>
  </si>
  <si>
    <t>RR-045</t>
  </si>
  <si>
    <t>RR-046</t>
  </si>
  <si>
    <t>RR-047</t>
  </si>
  <si>
    <t>RR-048</t>
  </si>
  <si>
    <t>RR-049</t>
  </si>
  <si>
    <t>RR-050</t>
  </si>
  <si>
    <t>RR-051</t>
  </si>
  <si>
    <t>RR-052</t>
  </si>
  <si>
    <t>RR-053</t>
  </si>
  <si>
    <t>RR-054</t>
  </si>
  <si>
    <t>RR-055</t>
  </si>
  <si>
    <t>RR-056</t>
  </si>
  <si>
    <t>RR-057</t>
  </si>
  <si>
    <t>RR-058</t>
  </si>
  <si>
    <t>RR-059</t>
  </si>
  <si>
    <t>RR-060</t>
  </si>
  <si>
    <t>RR-061</t>
  </si>
  <si>
    <t>RR-062</t>
  </si>
  <si>
    <t>RR-063</t>
  </si>
  <si>
    <t>RR-064</t>
  </si>
  <si>
    <t>RR-065</t>
  </si>
  <si>
    <t>RR-066</t>
  </si>
  <si>
    <t>RR-067</t>
  </si>
  <si>
    <t>RR-068</t>
  </si>
  <si>
    <t>RR-069</t>
  </si>
  <si>
    <t>RR-070</t>
  </si>
  <si>
    <t>RR-071</t>
  </si>
  <si>
    <t>RR-072</t>
  </si>
  <si>
    <t>RR-073</t>
  </si>
  <si>
    <t>RR-074</t>
  </si>
  <si>
    <t>RR-075</t>
  </si>
  <si>
    <t>RR-076</t>
  </si>
  <si>
    <t>RR-077</t>
  </si>
  <si>
    <t>RR-078</t>
  </si>
  <si>
    <t>RR-079</t>
  </si>
  <si>
    <t>RR-080</t>
  </si>
  <si>
    <t>RR-081</t>
  </si>
  <si>
    <t>RR-082</t>
  </si>
  <si>
    <t>RR-083</t>
  </si>
  <si>
    <t>RR-084</t>
  </si>
  <si>
    <t>RR-085</t>
  </si>
  <si>
    <t>RR-086</t>
  </si>
  <si>
    <t>RR-087</t>
  </si>
  <si>
    <t>RR-088</t>
  </si>
  <si>
    <t>RR-089</t>
  </si>
  <si>
    <t>RR-090</t>
  </si>
  <si>
    <t>RR-091</t>
  </si>
  <si>
    <t>RR-092</t>
  </si>
  <si>
    <t>RR-093</t>
  </si>
  <si>
    <t>RR-094</t>
  </si>
  <si>
    <t>RR-095</t>
  </si>
  <si>
    <t>RR-096</t>
  </si>
  <si>
    <t>RR-097</t>
  </si>
  <si>
    <t>RR-098</t>
  </si>
  <si>
    <t>RR-099</t>
  </si>
  <si>
    <t>RR-100</t>
  </si>
  <si>
    <t>RR-101</t>
  </si>
  <si>
    <t>RR-102</t>
  </si>
  <si>
    <t>RR-103</t>
  </si>
  <si>
    <t>RR-104</t>
  </si>
  <si>
    <t>RR-105</t>
  </si>
  <si>
    <t>RR-106</t>
  </si>
  <si>
    <t>RR-107</t>
  </si>
  <si>
    <t>RR-108</t>
  </si>
  <si>
    <t>RR-109</t>
  </si>
  <si>
    <t>RR-110</t>
  </si>
  <si>
    <t>RR-111</t>
  </si>
  <si>
    <t>RR-112</t>
  </si>
  <si>
    <t>RR-113</t>
  </si>
  <si>
    <t>RR-114</t>
  </si>
  <si>
    <t>RR-115</t>
  </si>
  <si>
    <t>RR-116</t>
  </si>
  <si>
    <t>RR-117</t>
  </si>
  <si>
    <t>RR-118</t>
  </si>
  <si>
    <t>RR-119</t>
  </si>
  <si>
    <t>RR-120</t>
  </si>
  <si>
    <t>RR-121</t>
  </si>
  <si>
    <t>RR-122</t>
  </si>
  <si>
    <t>RR-123</t>
  </si>
  <si>
    <t>RR-124</t>
  </si>
  <si>
    <t>RR-125</t>
  </si>
  <si>
    <t>RR-126</t>
  </si>
  <si>
    <t>RR-127</t>
  </si>
  <si>
    <t>RR-128</t>
  </si>
  <si>
    <t>RR-129</t>
  </si>
  <si>
    <t>RR-130</t>
  </si>
  <si>
    <t>RR-131</t>
  </si>
  <si>
    <t>RR-132</t>
  </si>
  <si>
    <t>RR-133</t>
  </si>
  <si>
    <t>RR-134</t>
  </si>
  <si>
    <t>RR-135</t>
  </si>
  <si>
    <t>RR-136</t>
  </si>
  <si>
    <t>RR-137</t>
  </si>
  <si>
    <t>RR-138</t>
  </si>
  <si>
    <t>RR-139</t>
  </si>
  <si>
    <t>RR-140</t>
  </si>
  <si>
    <t>RR-141</t>
  </si>
  <si>
    <t>RR-142</t>
  </si>
  <si>
    <t>RR-143</t>
  </si>
  <si>
    <t>RR-144</t>
  </si>
  <si>
    <t>RR-145</t>
  </si>
  <si>
    <t>RR-146</t>
  </si>
  <si>
    <t>RR-147</t>
  </si>
  <si>
    <t>RR-148</t>
  </si>
  <si>
    <t>RR-149</t>
  </si>
  <si>
    <t>RR-150</t>
  </si>
  <si>
    <t>RR-151</t>
  </si>
  <si>
    <t>RR-152</t>
  </si>
  <si>
    <t>RR-153</t>
  </si>
  <si>
    <t>RR-154</t>
  </si>
  <si>
    <t>RR-155</t>
  </si>
  <si>
    <t>RR-156</t>
  </si>
  <si>
    <t>RR-157</t>
  </si>
  <si>
    <t>RR-158</t>
  </si>
  <si>
    <t>RR-159</t>
  </si>
  <si>
    <t>RR-160</t>
  </si>
  <si>
    <t>RR-161</t>
  </si>
  <si>
    <t>RR-162</t>
  </si>
  <si>
    <t>RR-163</t>
  </si>
  <si>
    <t>RR-164</t>
  </si>
  <si>
    <t>RR-165</t>
  </si>
  <si>
    <t>RR-166</t>
  </si>
  <si>
    <t>RR-167</t>
  </si>
  <si>
    <t>RR-168</t>
  </si>
  <si>
    <t>RR-169</t>
  </si>
  <si>
    <t>RR-170</t>
  </si>
  <si>
    <t>RR-171</t>
  </si>
  <si>
    <t>RR-172</t>
  </si>
  <si>
    <t>RR-173</t>
  </si>
  <si>
    <t>RR-174</t>
  </si>
  <si>
    <t>RR-175</t>
  </si>
  <si>
    <t>RR-176</t>
  </si>
  <si>
    <t>RR-177</t>
  </si>
  <si>
    <t>RR-178</t>
  </si>
  <si>
    <t>RR-179</t>
  </si>
  <si>
    <t>RR-180</t>
  </si>
  <si>
    <t>RR-181</t>
  </si>
  <si>
    <t>RR-182</t>
  </si>
  <si>
    <t>RR-183</t>
  </si>
  <si>
    <t>RR-184</t>
  </si>
  <si>
    <t>RR-185</t>
  </si>
  <si>
    <t>RR-186</t>
  </si>
  <si>
    <t>RR-187</t>
  </si>
  <si>
    <t>RR-188</t>
  </si>
  <si>
    <t>RR-189</t>
  </si>
  <si>
    <t>RR-190</t>
  </si>
  <si>
    <t>RR-191</t>
  </si>
  <si>
    <t>RR-192</t>
  </si>
  <si>
    <t>RR-193</t>
  </si>
  <si>
    <t>RR-194</t>
  </si>
  <si>
    <t>RR-195</t>
  </si>
  <si>
    <t>RR-196</t>
  </si>
  <si>
    <t>RR-197</t>
  </si>
  <si>
    <t>RR-198</t>
  </si>
  <si>
    <t>RR-199</t>
  </si>
  <si>
    <t>RR-200</t>
  </si>
  <si>
    <t>Control Name</t>
  </si>
  <si>
    <t>Purpose/Objective</t>
  </si>
  <si>
    <t>A5</t>
  </si>
  <si>
    <t>Organizational Controls</t>
  </si>
  <si>
    <t>Policies for information security</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</si>
  <si>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</si>
  <si>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t>
  </si>
  <si>
    <t>Information security roles and responsibilities shall be defined and allocated according to the organization needs.</t>
  </si>
  <si>
    <t>Segregation of duties</t>
  </si>
  <si>
    <t>Conflicting duties and conflicting areas of responsibility shall be segregated.</t>
  </si>
  <si>
    <t>Management responsibilities</t>
  </si>
  <si>
    <t>Management shall require all personnel to apply information security in accordance with the established information security policy, topic-specific policies and procedures of the organization.</t>
  </si>
  <si>
    <t>Contact with authorities</t>
  </si>
  <si>
    <t>The organization shall establish and maintain contact with relevant authorities.</t>
  </si>
  <si>
    <t>Contact with special interest groups</t>
  </si>
  <si>
    <t>The organization shall establish and maintain contact with special interest groups or other specialist security forums and professional associations.</t>
  </si>
  <si>
    <t>Threat intelligence</t>
  </si>
  <si>
    <t>Information relating to information security threats shall be collected and analysed to produce threat intelligence.</t>
  </si>
  <si>
    <t>Information security in project management</t>
  </si>
  <si>
    <t>Information security shall be integrated into project management.</t>
  </si>
  <si>
    <t>Inventory of information and other associated assets</t>
  </si>
  <si>
    <t>An inventory of information and other associated assets, including owners, shall be developed and maintained.</t>
  </si>
  <si>
    <t>Acceptable use of information and other associated assets</t>
  </si>
  <si>
    <t>Rules for the acceptable use and procedures for handling information and other associated assets shall be identified, documented and implemented.</t>
  </si>
  <si>
    <t>Return of assets</t>
  </si>
  <si>
    <t>Personnel and other interested parties as appropriate shall return all the organization’s assets in their possession upon change or termination of their employment, contract or agreement.</t>
  </si>
  <si>
    <t>Classification of information</t>
  </si>
  <si>
    <t>Information shall be classified according to the information security needs of the organization based on confidentiality, integrity, availability and relevant interested party requirements.</t>
  </si>
  <si>
    <t>Labelling of information</t>
  </si>
  <si>
    <t>An appropriate set of procedures for information labelling shall be developed and implemented in accordance with the information classification scheme adopted by the organization.</t>
  </si>
  <si>
    <t>Information transfer</t>
  </si>
  <si>
    <t>Information transfer rules, procedures, or agreements shall be in place for all types of transfer facilities within the organization and between the organization and other parties.</t>
  </si>
  <si>
    <t>Access control</t>
  </si>
  <si>
    <t>Rules to control physical and logical access to information and other associated assets shall be established and implemented based on business and information security requirements.</t>
  </si>
  <si>
    <t>Identity management</t>
  </si>
  <si>
    <t>The full life cycle of identities shall be managed.</t>
  </si>
  <si>
    <t>Authentication information</t>
  </si>
  <si>
    <t>Allocation and management of authentication information shall be controlled by a management process, including advising personnel on appropriate handling of authentication information.</t>
  </si>
  <si>
    <t>Access rights</t>
  </si>
  <si>
    <t>Access rights to information and other associated assets shall be provisioned, reviewed, modified and removed in accordance with the organization’s topic-specific policy on and rules for access control.</t>
  </si>
  <si>
    <t>Information security in supplier relationships</t>
  </si>
  <si>
    <t>Processes and procedures shall be defined and implemented to manage the information security risks associated with the use of supplier’s products or services.</t>
  </si>
  <si>
    <t>Addressing information security within supplier agreements</t>
  </si>
  <si>
    <t>Relevant information security requirements shall be established and agreed with each supplier based on the type of supplier relationship.</t>
  </si>
  <si>
    <t>Managing information security in the information and communication technology (ICT) supply chain</t>
  </si>
  <si>
    <t>Processes and procedures shall be defined and implemented to manage the information security risks associated with the ICT products and services supply chain.</t>
  </si>
  <si>
    <t>Monitoring, review and change management of supplier services</t>
  </si>
  <si>
    <t>The organization shall regularly monitor, review, evaluate and manage change in supplier information security practices and service delivery.</t>
  </si>
  <si>
    <t>Information security for use of cloud services</t>
  </si>
  <si>
    <t>Processes for acquisition, use, management and exit from cloud services shall be established in accordance with the organization’s information security requirements.</t>
  </si>
  <si>
    <t>Information security incident management planning and preparation</t>
  </si>
  <si>
    <t>The organization shall plan and prepare for managing information security incidents by defining, establishing and communicating information security incident management processes, roles and responsibilities.</t>
  </si>
  <si>
    <t>Assessment and decision on information security events</t>
  </si>
  <si>
    <t>The organization shall assess information security events and decide if they are to be categorized as information security incidents.</t>
  </si>
  <si>
    <t>Response to information security incidents</t>
  </si>
  <si>
    <t>Information security incidents shall be responded to in accordance with the documented procedures.</t>
  </si>
  <si>
    <t>Learning from information security incidents</t>
  </si>
  <si>
    <t>Knowledge gained from information security incidents shall be used to strengthen and improve the information security controls.</t>
  </si>
  <si>
    <t>Collection of evidence</t>
  </si>
  <si>
    <t>The organization shall establish and implement procedures for the identification, collection, acquisition and preservation of evidence related to information security events.</t>
  </si>
  <si>
    <t>Information security during disruption</t>
  </si>
  <si>
    <t>The organization shall plan how to maintain information security at an appropriate level during disruption.</t>
  </si>
  <si>
    <t>ICT readiness for business continuity</t>
  </si>
  <si>
    <t>ICT readiness shall be planned, implemented, maintained and tested based on business continuity objectives and ICT continuity requirements.</t>
  </si>
  <si>
    <t>Legal, statutory, regulatory and contractual requirements</t>
  </si>
  <si>
    <t>Legal, statutory, regulatory and contractual requirements relevant to information security and the organization’s approach to meet these requirements shall be identified, documented and kept up to date.</t>
  </si>
  <si>
    <t>Intellectual property rights</t>
  </si>
  <si>
    <t>The organization shall implement appropriate procedures to protect intellectual property rights.</t>
  </si>
  <si>
    <t>Protection of records</t>
  </si>
  <si>
    <t>Records shall be protected from loss, destruction, falsification, unauthorized access and unauthorized release.</t>
  </si>
  <si>
    <t>Privacy and protection of personal identifiable information (PII)</t>
  </si>
  <si>
    <t>The organization shall identify and meet the requirements regarding the preservation of privacy and protection of PII according to applicable laws and regulations and contractual requirements.</t>
  </si>
  <si>
    <t>Independent review of information security</t>
  </si>
  <si>
    <t>The organization’s approach to managing information security and its implementation including people, processes and technologies shall be reviewed independently at planned intervals, or when significant changes occur.</t>
  </si>
  <si>
    <t>Compliance with policies, rules and standards for information security</t>
  </si>
  <si>
    <t>Compliance with the organization’s information security policy, topic-specific policies, rules and standards shall be regularly reviewed.</t>
  </si>
  <si>
    <t>Documented operating procedures</t>
  </si>
  <si>
    <t>Operating procedures for information processing facilities shall be documented and made available to personnel who need them.</t>
  </si>
  <si>
    <t>A6</t>
  </si>
  <si>
    <t>People Controls</t>
  </si>
  <si>
    <t>Screening</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</si>
  <si>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</si>
  <si>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Terms and conditions of employment</t>
  </si>
  <si>
    <t>The employment contractual agreements shall state the personnel’s and the organization’s responsibilities for information security.</t>
  </si>
  <si>
    <t>Information security awareness, education and training</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</si>
  <si>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</si>
  <si>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Disciplinary process</t>
  </si>
  <si>
    <t>A disciplinary process shall be formalized and communicated to take actions against personnel and other relevant interested parties who have committed an information security policy violation.</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</si>
  <si>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</si>
  <si>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</si>
  <si>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Confidentiality or non-disclosure agreements</t>
  </si>
  <si>
    <t>Confidentiality or non-disclosure agreements reflecting the organization’s needs for the protection of information shall be identified, documented, regularly reviewed and signed by personnel and other relevant interested parties.</t>
  </si>
  <si>
    <t>Remote working</t>
  </si>
  <si>
    <t>Security measures shall be implemented when personnel are working remotely to protect information accessed, processed or stored outside the organization’s premises.</t>
  </si>
  <si>
    <t>Information security event reporting</t>
  </si>
  <si>
    <t>The organization shall provide a mechanism for personnel to report observed or suspected information security events through appropriate channels in a timely manner.</t>
  </si>
  <si>
    <t>A7</t>
  </si>
  <si>
    <t>Physical Controls</t>
  </si>
  <si>
    <t>Physical security perimeters</t>
  </si>
  <si>
    <t>Security perimeters shall be defined and used to protect areas that contain information and other associated assets.</t>
  </si>
  <si>
    <t>Physical entry</t>
  </si>
  <si>
    <t>Secure areas shall be protected by appropriate entry controls and access points.</t>
  </si>
  <si>
    <t>Securing offices, rooms and facilities</t>
  </si>
  <si>
    <t>Physical security for offices, rooms and facilities shall be designed and implemented.</t>
  </si>
  <si>
    <t>Physical security monitoring</t>
  </si>
  <si>
    <t>Premises shall be continuously monitored for unauthorized physical access.</t>
  </si>
  <si>
    <t>Protecting against physical and environmental threats</t>
  </si>
  <si>
    <t>Protection against physical and environmental threats, such as natural disasters and other intentional or unintentional physical threats to infrastructure shall be designed and implemented.</t>
  </si>
  <si>
    <t>Working in secure areas</t>
  </si>
  <si>
    <t>Security measures for working in secure areas shall be designed and implemented.</t>
  </si>
  <si>
    <t>Clear desk and clear screen</t>
  </si>
  <si>
    <t>Clear desk rules for papers and removable storage media and clear screen rules for information processing facilities shall be defined and appropriately enforced.</t>
  </si>
  <si>
    <t>Equipment siting and protection</t>
  </si>
  <si>
    <t>Equipment shall be sited securely and protected.</t>
  </si>
  <si>
    <t>Security of assets off-premises</t>
  </si>
  <si>
    <t>Off-site assets shall be protected.</t>
  </si>
  <si>
    <t>Storage media</t>
  </si>
  <si>
    <t>Storage media shall be managed through their life cycle of acquisition, use, transportation and disposal in accordance with the organization’s classification scheme and handling requirements.</t>
  </si>
  <si>
    <t>Supporting utilities</t>
  </si>
  <si>
    <t>Information processing facilities shall be protected from power failures and other disruptions caused by failures in supporting utilities.</t>
  </si>
  <si>
    <t>Cabling security</t>
  </si>
  <si>
    <t>Cables carrying power, data or supporting information services shall be protected from interception, interference or damage.</t>
  </si>
  <si>
    <t>Equipment maintenance</t>
  </si>
  <si>
    <t>Equipment shall be maintained correctly to ensure availability, integrity and confidentiality of information.</t>
  </si>
  <si>
    <t>Secure disposal or re-use of equipment</t>
  </si>
  <si>
    <t>Items of equipment containing storage media shall be verified to ensure that any sensitive data and licensed software has been removed or securely overwritten prior to disposal or re-use.</t>
  </si>
  <si>
    <t>A8</t>
  </si>
  <si>
    <t>Technological Controls</t>
  </si>
  <si>
    <t>User end point devices</t>
  </si>
  <si>
    <t>Information stored on, processed by, or accessible via user end point devices shall be protected.</t>
  </si>
  <si>
    <t>Privileged access rights</t>
  </si>
  <si>
    <t>The allocation and use of privileged access rights shall be restricted and managed.</t>
  </si>
  <si>
    <t>Information access restriction</t>
  </si>
  <si>
    <t>Access to information and other associated assets shall be restricted in accordance with the established topic-specific policy on access control.</t>
  </si>
  <si>
    <t>Access to source code</t>
  </si>
  <si>
    <t>Read and write access to source code, development tools, and software libraries shall be appropriately managed.</t>
  </si>
  <si>
    <t>Secure authentication</t>
  </si>
  <si>
    <t>Secure authentication technologies and procedures shall be implemented based on information access restrictions and the topic-specific policy on access control.</t>
  </si>
  <si>
    <t>Capacity management</t>
  </si>
  <si>
    <t>The use of resources shall be monitored and adjusted in line with current and expected capacity requirements.</t>
  </si>
  <si>
    <t>Protection against malware</t>
  </si>
  <si>
    <t>Protection against malware shall be implemented and supported by appropriate user awareness.</t>
  </si>
  <si>
    <t>Management of technical vulnerabilities</t>
  </si>
  <si>
    <t>Information about technical vulnerabilities of information systems in use shall be obtained, the organization’s exposure to such vulnerabilities shall be evaluated, and appropriate measures shall be taken.</t>
  </si>
  <si>
    <t>Configuration management</t>
  </si>
  <si>
    <t>Configurations, including security configurations, of hardware, software, services, and networks shall be established, documented, implemented, monitored, and reviewed.</t>
  </si>
  <si>
    <t>Information deletion</t>
  </si>
  <si>
    <t>Information stored in information systems, devices, or in any other storage media shall be deleted when no longer required.</t>
  </si>
  <si>
    <t>Data masking</t>
  </si>
  <si>
    <t>Data masking shall be used in accordance with the organization’s topic-specific policy on access control and other related topic-specific policies, and business requirements, taking applicable legislation into consideration.</t>
  </si>
  <si>
    <t>Data leakage prevention</t>
  </si>
  <si>
    <t>Data leakage prevention measures shall be applied to systems, networks, and any other devices that process, store, or transmit sensitive information.</t>
  </si>
  <si>
    <t>Information backup</t>
  </si>
  <si>
    <t>Backup copies of information, software, and systems shall be maintained and regularly tested in accordance with the agreed topic-specific policy on backup.</t>
  </si>
  <si>
    <t>Redundancy of information processing facilities</t>
  </si>
  <si>
    <t>Information processing facilities shall be implemented with redundancy sufficient to meet availability requirements.</t>
  </si>
  <si>
    <t>Logging</t>
  </si>
  <si>
    <t>Logs that record activities, exceptions, faults, and other relevant events shall be produced, stored, protected, and analyzed.</t>
  </si>
  <si>
    <t>Monitoring activities</t>
  </si>
  <si>
    <t>Networks, systems, and applications shall be monitored for anomalous behavior, and appropriate actions taken to evaluate potential information security incidents.</t>
  </si>
  <si>
    <t>Clock synchronization</t>
  </si>
  <si>
    <t>The clocks of information processing systems used by the organization shall be synchronized to approved time sources.</t>
  </si>
  <si>
    <t>Use of privileged utility programs</t>
  </si>
  <si>
    <t>The use of utility programs that can be capable of overriding system and application controls shall be restricted and tightly controlled.</t>
  </si>
  <si>
    <t>Installation of software on operational systems</t>
  </si>
  <si>
    <t>Procedures and measures shall be implemented to securely manage software installation on operational systems.</t>
  </si>
  <si>
    <t>Networks security</t>
  </si>
  <si>
    <t>Networks and network devices shall be secured, managed, and controlled to protect information in systems and applications.</t>
  </si>
  <si>
    <t>Security of network services</t>
  </si>
  <si>
    <t>Security mechanisms, service levels, and service requirements of network services shall be identified, implemented, and monitored.</t>
  </si>
  <si>
    <t>Segregation of networks</t>
  </si>
  <si>
    <t>Groups of information services, users, and information systems shall be segregated on the organization’s networks.</t>
  </si>
  <si>
    <t>Web filtering</t>
  </si>
  <si>
    <t>Access to external websites shall be managed to reduce exposure to malicious content.</t>
  </si>
  <si>
    <t>Use of cryptography</t>
  </si>
  <si>
    <t>Rules for the effective use of cryptography, including cryptographic key management, shall be defined and implemented.</t>
  </si>
  <si>
    <t>Secure development life cycle</t>
  </si>
  <si>
    <t>Rules for the secure development of software and systems shall be established and applied.</t>
  </si>
  <si>
    <t>Application security requirements</t>
  </si>
  <si>
    <t>Information security requirements shall be identified, specified, and approved when developing or acquiring applications.</t>
  </si>
  <si>
    <t>Secure system architecture and engineering principles</t>
  </si>
  <si>
    <t>Principles for engineering secure systems shall be established, documented, maintained, and applied to any information system development activities.</t>
  </si>
  <si>
    <t>Secure coding</t>
  </si>
  <si>
    <t>Secure coding principles shall be applied to software development.</t>
  </si>
  <si>
    <t>Security testing in development and acceptance</t>
  </si>
  <si>
    <t>Security testing processes shall be defined and implemented in the development life cycle.</t>
  </si>
  <si>
    <t>Outsourced development</t>
  </si>
  <si>
    <t>The organization shall direct, monitor, and review the activities related to outsourced system development.</t>
  </si>
  <si>
    <t>Separation of development, test, and production environments</t>
  </si>
  <si>
    <t>Development, testing, and production environments shall be separated and secured.</t>
  </si>
  <si>
    <t>Change management</t>
  </si>
  <si>
    <t>Changes to information processing facilities and information systems shall be subject to change management procedures.</t>
  </si>
  <si>
    <t>Test information</t>
  </si>
  <si>
    <t>Test information shall be appropriately selected, protected, and managed.</t>
  </si>
  <si>
    <t>Protection of information systems during audit testing</t>
  </si>
  <si>
    <t>Audit tests and other assurance activities involving assessment of operational systems shall be planned and agreed between the tester and appropriate management.</t>
  </si>
  <si>
    <t>ID</t>
  </si>
  <si>
    <t>Risk Score Range</t>
  </si>
  <si>
    <t>Action / Priority</t>
  </si>
  <si>
    <t>1–7</t>
  </si>
  <si>
    <t>Low</t>
  </si>
  <si>
    <t>Accept / Monitor</t>
  </si>
  <si>
    <t>8–14</t>
  </si>
  <si>
    <t>Medium</t>
  </si>
  <si>
    <t>Manage with controls</t>
  </si>
  <si>
    <t>15–25</t>
  </si>
  <si>
    <t>High</t>
  </si>
  <si>
    <t>Immediate treatment required</t>
  </si>
  <si>
    <t>Risk Evaluation Criteria</t>
  </si>
  <si>
    <t>Annex A Contols</t>
  </si>
  <si>
    <t>1 (Negligible)</t>
  </si>
  <si>
    <t>2 (Minor)</t>
  </si>
  <si>
    <t>3 (Moderate)</t>
  </si>
  <si>
    <t>4 (Major)</t>
  </si>
  <si>
    <t>Very High</t>
  </si>
  <si>
    <t>5 (Critical)</t>
  </si>
  <si>
    <t>Likelihood</t>
  </si>
  <si>
    <t>Impact</t>
  </si>
  <si>
    <t>Scale</t>
  </si>
  <si>
    <t>Likelihood Description</t>
  </si>
  <si>
    <t>Impact Description</t>
  </si>
  <si>
    <t>Rare – may occur in exceptional circumstances</t>
  </si>
  <si>
    <t>Negligible – no significant damage</t>
  </si>
  <si>
    <t>Unlikely – not expected but possible</t>
  </si>
  <si>
    <t>Minor – slight disruption, low cost</t>
  </si>
  <si>
    <t>Possible – might occur at some time</t>
  </si>
  <si>
    <t>Moderate – limited business impact</t>
  </si>
  <si>
    <t>Likely – will probably occur</t>
  </si>
  <si>
    <t>Major – serious operational or financial effect</t>
  </si>
  <si>
    <t>Almost Certain – expected to occur frequently</t>
  </si>
  <si>
    <t>Critical – severe loss or legal consequence</t>
  </si>
  <si>
    <t>ISO/IEC 27001:2022 – Information Security Risk Treatment Plan</t>
  </si>
  <si>
    <t>Treatment ID</t>
  </si>
  <si>
    <t>RT-001</t>
  </si>
  <si>
    <t>RT-002</t>
  </si>
  <si>
    <t>RT-003</t>
  </si>
  <si>
    <t>RT-004</t>
  </si>
  <si>
    <t>RT-005</t>
  </si>
  <si>
    <t>RT-006</t>
  </si>
  <si>
    <t>RT-007</t>
  </si>
  <si>
    <t>RT-008</t>
  </si>
  <si>
    <t>RT-009</t>
  </si>
  <si>
    <t>RT-010</t>
  </si>
  <si>
    <t>RT-011</t>
  </si>
  <si>
    <t>RT-012</t>
  </si>
  <si>
    <t>RT-013</t>
  </si>
  <si>
    <t>RT-014</t>
  </si>
  <si>
    <t>RT-015</t>
  </si>
  <si>
    <t>RT-016</t>
  </si>
  <si>
    <t>RT-017</t>
  </si>
  <si>
    <t>RT-018</t>
  </si>
  <si>
    <t>RT-019</t>
  </si>
  <si>
    <t>RT-020</t>
  </si>
  <si>
    <t>RT-021</t>
  </si>
  <si>
    <t>RT-022</t>
  </si>
  <si>
    <t>RT-023</t>
  </si>
  <si>
    <t>RT-024</t>
  </si>
  <si>
    <t>RT-025</t>
  </si>
  <si>
    <t>RT-026</t>
  </si>
  <si>
    <t>RT-027</t>
  </si>
  <si>
    <t>RT-028</t>
  </si>
  <si>
    <t>RT-029</t>
  </si>
  <si>
    <t>RT-030</t>
  </si>
  <si>
    <t>RT-031</t>
  </si>
  <si>
    <t>RT-032</t>
  </si>
  <si>
    <t>RT-033</t>
  </si>
  <si>
    <t>RT-034</t>
  </si>
  <si>
    <t>RT-035</t>
  </si>
  <si>
    <t>RT-036</t>
  </si>
  <si>
    <t>RT-037</t>
  </si>
  <si>
    <t>RT-038</t>
  </si>
  <si>
    <t>RT-039</t>
  </si>
  <si>
    <t>RT-040</t>
  </si>
  <si>
    <t>RT-041</t>
  </si>
  <si>
    <t>RT-042</t>
  </si>
  <si>
    <t>RT-043</t>
  </si>
  <si>
    <t>RT-044</t>
  </si>
  <si>
    <t>RT-045</t>
  </si>
  <si>
    <t>RT-046</t>
  </si>
  <si>
    <t>RT-047</t>
  </si>
  <si>
    <t>RT-048</t>
  </si>
  <si>
    <t>RT-049</t>
  </si>
  <si>
    <t>RT-050</t>
  </si>
  <si>
    <t>RT-051</t>
  </si>
  <si>
    <t>RT-052</t>
  </si>
  <si>
    <t>RT-053</t>
  </si>
  <si>
    <t>RT-054</t>
  </si>
  <si>
    <t>RT-055</t>
  </si>
  <si>
    <t>RT-056</t>
  </si>
  <si>
    <t>RT-057</t>
  </si>
  <si>
    <t>RT-058</t>
  </si>
  <si>
    <t>RT-059</t>
  </si>
  <si>
    <t>RT-060</t>
  </si>
  <si>
    <t>RT-061</t>
  </si>
  <si>
    <t>RT-062</t>
  </si>
  <si>
    <t>RT-063</t>
  </si>
  <si>
    <t>RT-064</t>
  </si>
  <si>
    <t>RT-065</t>
  </si>
  <si>
    <t>RT-066</t>
  </si>
  <si>
    <t>RT-067</t>
  </si>
  <si>
    <t>RT-068</t>
  </si>
  <si>
    <t>RT-069</t>
  </si>
  <si>
    <t>RT-070</t>
  </si>
  <si>
    <t>RT-071</t>
  </si>
  <si>
    <t>RT-072</t>
  </si>
  <si>
    <t>RT-073</t>
  </si>
  <si>
    <t>RT-074</t>
  </si>
  <si>
    <t>RT-075</t>
  </si>
  <si>
    <t>RT-076</t>
  </si>
  <si>
    <t>RT-077</t>
  </si>
  <si>
    <t>RT-078</t>
  </si>
  <si>
    <t>RT-079</t>
  </si>
  <si>
    <t>RT-080</t>
  </si>
  <si>
    <t>RT-081</t>
  </si>
  <si>
    <t>RT-082</t>
  </si>
  <si>
    <t>RT-083</t>
  </si>
  <si>
    <t>RT-084</t>
  </si>
  <si>
    <t>RT-085</t>
  </si>
  <si>
    <t>RT-086</t>
  </si>
  <si>
    <t>RT-087</t>
  </si>
  <si>
    <t>RT-088</t>
  </si>
  <si>
    <t>RT-089</t>
  </si>
  <si>
    <t>RT-090</t>
  </si>
  <si>
    <t>RT-091</t>
  </si>
  <si>
    <t>RT-092</t>
  </si>
  <si>
    <t>RT-093</t>
  </si>
  <si>
    <t>RT-094</t>
  </si>
  <si>
    <t>RT-095</t>
  </si>
  <si>
    <t>RT-096</t>
  </si>
  <si>
    <t>RT-097</t>
  </si>
  <si>
    <t>RT-098</t>
  </si>
  <si>
    <t>RT-099</t>
  </si>
  <si>
    <t>RT-100</t>
  </si>
  <si>
    <t>RT-101</t>
  </si>
  <si>
    <t>RT-102</t>
  </si>
  <si>
    <t>RT-103</t>
  </si>
  <si>
    <t>RT-104</t>
  </si>
  <si>
    <t>RT-105</t>
  </si>
  <si>
    <t>RT-106</t>
  </si>
  <si>
    <t>RT-107</t>
  </si>
  <si>
    <t>RT-108</t>
  </si>
  <si>
    <t>RT-109</t>
  </si>
  <si>
    <t>RT-110</t>
  </si>
  <si>
    <t>RT-111</t>
  </si>
  <si>
    <t>RT-112</t>
  </si>
  <si>
    <t>RT-113</t>
  </si>
  <si>
    <t>RT-114</t>
  </si>
  <si>
    <t>RT-115</t>
  </si>
  <si>
    <t>RT-116</t>
  </si>
  <si>
    <t>RT-117</t>
  </si>
  <si>
    <t>RT-118</t>
  </si>
  <si>
    <t>RT-119</t>
  </si>
  <si>
    <t>RT-120</t>
  </si>
  <si>
    <t>RT-121</t>
  </si>
  <si>
    <t>RT-122</t>
  </si>
  <si>
    <t>RT-123</t>
  </si>
  <si>
    <t>RT-124</t>
  </si>
  <si>
    <t>RT-125</t>
  </si>
  <si>
    <t>RT-126</t>
  </si>
  <si>
    <t>RT-127</t>
  </si>
  <si>
    <t>RT-128</t>
  </si>
  <si>
    <t>RT-129</t>
  </si>
  <si>
    <t>RT-130</t>
  </si>
  <si>
    <t>RT-131</t>
  </si>
  <si>
    <t>RT-132</t>
  </si>
  <si>
    <t>RT-133</t>
  </si>
  <si>
    <t>RT-134</t>
  </si>
  <si>
    <t>RT-135</t>
  </si>
  <si>
    <t>RT-136</t>
  </si>
  <si>
    <t>RT-137</t>
  </si>
  <si>
    <t>RT-138</t>
  </si>
  <si>
    <t>RT-139</t>
  </si>
  <si>
    <t>RT-140</t>
  </si>
  <si>
    <t>RT-141</t>
  </si>
  <si>
    <t>RT-142</t>
  </si>
  <si>
    <t>RT-143</t>
  </si>
  <si>
    <t>RT-144</t>
  </si>
  <si>
    <t>RT-145</t>
  </si>
  <si>
    <t>RT-146</t>
  </si>
  <si>
    <t>RT-147</t>
  </si>
  <si>
    <t>RT-148</t>
  </si>
  <si>
    <t>RT-149</t>
  </si>
  <si>
    <t>RT-150</t>
  </si>
  <si>
    <t>RT-151</t>
  </si>
  <si>
    <t>RT-152</t>
  </si>
  <si>
    <t>RT-153</t>
  </si>
  <si>
    <t>RT-154</t>
  </si>
  <si>
    <t>RT-155</t>
  </si>
  <si>
    <t>RT-156</t>
  </si>
  <si>
    <t>RT-157</t>
  </si>
  <si>
    <t>RT-158</t>
  </si>
  <si>
    <t>RT-159</t>
  </si>
  <si>
    <t>RT-160</t>
  </si>
  <si>
    <t>RT-161</t>
  </si>
  <si>
    <t>RT-162</t>
  </si>
  <si>
    <t>RT-163</t>
  </si>
  <si>
    <t>RT-164</t>
  </si>
  <si>
    <t>RT-165</t>
  </si>
  <si>
    <t>RT-166</t>
  </si>
  <si>
    <t>RT-167</t>
  </si>
  <si>
    <t>RT-168</t>
  </si>
  <si>
    <t>RT-169</t>
  </si>
  <si>
    <t>RT-170</t>
  </si>
  <si>
    <t>RT-171</t>
  </si>
  <si>
    <t>RT-172</t>
  </si>
  <si>
    <t>RT-173</t>
  </si>
  <si>
    <t>RT-174</t>
  </si>
  <si>
    <t>RT-175</t>
  </si>
  <si>
    <t>RT-176</t>
  </si>
  <si>
    <t>RT-177</t>
  </si>
  <si>
    <t>RT-178</t>
  </si>
  <si>
    <t>RT-179</t>
  </si>
  <si>
    <t>RT-180</t>
  </si>
  <si>
    <t>RT-181</t>
  </si>
  <si>
    <t>RT-182</t>
  </si>
  <si>
    <t>RT-183</t>
  </si>
  <si>
    <t>RT-184</t>
  </si>
  <si>
    <t>RT-185</t>
  </si>
  <si>
    <t>RT-186</t>
  </si>
  <si>
    <t>RT-187</t>
  </si>
  <si>
    <t>RT-188</t>
  </si>
  <si>
    <t>RT-189</t>
  </si>
  <si>
    <t>RT-190</t>
  </si>
  <si>
    <t>RT-191</t>
  </si>
  <si>
    <t>RT-192</t>
  </si>
  <si>
    <t>RT-193</t>
  </si>
  <si>
    <t>RT-194</t>
  </si>
  <si>
    <t>RT-195</t>
  </si>
  <si>
    <t>RT-196</t>
  </si>
  <si>
    <t>RT-197</t>
  </si>
  <si>
    <t>RT-198</t>
  </si>
  <si>
    <t>RT-199</t>
  </si>
  <si>
    <t>RT-200</t>
  </si>
  <si>
    <t>Mapped Annex A Control(s)</t>
  </si>
  <si>
    <t>Control Action</t>
  </si>
  <si>
    <t>Implementation Steps</t>
  </si>
  <si>
    <t>Responsible Owner</t>
  </si>
  <si>
    <t>Budget / Cost</t>
  </si>
  <si>
    <t>Due Date</t>
  </si>
  <si>
    <t>Residual Target</t>
  </si>
  <si>
    <t>&lt;Add Action&gt;</t>
  </si>
  <si>
    <t>&lt;Add Control&gt;</t>
  </si>
  <si>
    <t>&lt;Add Step&gt;</t>
  </si>
  <si>
    <t>&lt;Add owner&gt;</t>
  </si>
  <si>
    <t>&lt;Add Budget&gt;</t>
  </si>
  <si>
    <t>&lt;Target&gt;</t>
  </si>
  <si>
    <t>PDCA Phase</t>
  </si>
  <si>
    <t>Check</t>
  </si>
  <si>
    <t>Meaning / Example</t>
  </si>
  <si>
    <t>Plan</t>
  </si>
  <si>
    <t>Risk identified, analyzed, and treatment planned (control selection decided).</t>
  </si>
  <si>
    <t>Do</t>
  </si>
  <si>
    <t>Controls are being implemented (in progress).</t>
  </si>
  <si>
    <t>Internal audit or monitoring verifying control effectiveness.</t>
  </si>
  <si>
    <t>Act</t>
  </si>
  <si>
    <t>Corrective actions or improvements applied based on audit findings or performance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</si>
</sst>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
      <sz val="10"/>
      <color rgb="FF000000"/>
      <name val="Calibri"/>
      <family val="2"/>
      <scheme val="minor"/>
    </font>
    <font>
      <b/>
      <sz val="26"/>
      <color theme="1"/>
      <name val="Times New Roman"/>
      <family val="1"/>
    </font>
    <font>
      <b/>
      <sz val="20"/>
      <color theme="1"/>
      <name val="Times New Roman"/>
      <family val="1"/>
    </font>
    <font>
      <sz val="11"/>
      <color theme="1" tint="0.34998626667073579"/>
      <name val="Times New Roman"/>
      <family val="1"/>
    </font>
    <font>
      <b/>
      <sz val="11"/>
      <name val="Times New Roman"/>
      <family val="1"/>
    </font>
    <font>
      <sz val="8"/>
      <name val="Calibri"/>
      <family val="2"/>
      <scheme val="minor"/>
    </font>
    <font>
      <sz val="11"/>
      <color theme="1" tint="0.499984740745262"/>
      <name val="Times New Roman"/>
      <family val="1"/>
    </font>
    <font>
      <b/>
      <sz val="13"/>
      <color theme="3"/>
      <name val="Calibri"/>
      <family val="2"/>
      <scheme val="minor"/>
    </font>
  </fonts>
  <fills count="3">
    <fill>
      <patternFill patternType="none"/>
    </fill>
    <fill>
      <patternFill patternType="gray125"/>
    </fill>
    <fill>
      <patternFill patternType="solid">
        <fgColor rgb="FFECECEC"/>
        <bgColor rgb="FFECECEC"/>
      </patternFill>
    </fill>
  </fills>
  <borders count="4">
    <border>
      <left/>
      <right/>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thin">
        <color auto="1"/>
      </top>
      <bottom style="thin">
        <color auto="1"/>
      </bottom>
      <diagonal/>
    </border>
    <border>
      <left/>
      <right/>
      <top/>
      <bottom style="thick">
        <color theme="4" tint="0.499984740745262"/>
      </bottom>
      <diagonal/>
    </border>
  </borders>
  <cellStyleXfs count="3">
    <xf numFmtId="0" fontId="0" fillId="0" borderId="0"/>
    <xf numFmtId="0" fontId="4" fillId="0" borderId="0"/>
    <xf numFmtId="0" fontId="11" fillId="0" borderId="3" applyNumberFormat="0" applyFill="0" applyAlignment="0" applyProtection="0"/>
  </cellStyleXfs>
  <cellXfs count="41">
    <xf numFmtId="0" fontId="0" fillId="0" borderId="0" xfId="0"/>
    <xf numFmtId="0" fontId="0" fillId="0" borderId="0" xfId="0" applyAlignment="1">
      <alignment horizontal="left" vertical="center"/>
    </xf>
    <xf numFmtId="0" fontId="2" fillId="0" borderId="0" xfId="0" applyFont="1"/>
    <xf numFmtId="0" fontId="2" fillId="0" borderId="0" xfId="0" applyFont="1" applyAlignment="1">
      <alignment vertical="center"/>
    </xf>
    <xf numFmtId="0" fontId="2" fillId="0" borderId="1" xfId="0" applyFont="1" applyBorder="1" applyAlignment="1">
      <alignment vertical="center"/>
    </xf>
    <xf numFmtId="0" fontId="7" fillId="0" borderId="1" xfId="0" applyFont="1" applyBorder="1" applyAlignment="1">
      <alignment vertical="center"/>
    </xf>
    <xf numFmtId="0" fontId="7" fillId="0" borderId="0" xfId="0" applyFont="1" applyAlignment="1">
      <alignment vertical="center"/>
    </xf>
    <xf numFmtId="0" fontId="2" fillId="0" borderId="0" xfId="0" applyFont="1" applyAlignment="1">
      <alignment vertical="center" wrapText="1"/>
    </xf>
    <xf numFmtId="0" fontId="2" fillId="0" borderId="1" xfId="0" applyFont="1" applyBorder="1" applyAlignment="1">
      <alignment vertical="center" wrapText="1"/>
    </xf>
    <xf numFmtId="0" fontId="8" fillId="2" borderId="0" xfId="0" applyFont="1" applyFill="1" applyAlignment="1">
      <alignment horizontal="center" vertical="center" wrapText="1"/>
    </xf>
    <xf numFmtId="0" fontId="10" fillId="0" borderId="0" xfId="0" applyFont="1"/>
    <xf numFmtId="0" fontId="0" fillId="0" borderId="0" xfId="0" applyAlignment="1">
      <alignment vertical="center" wrapText="1"/>
    </xf>
    <xf numFmtId="0" fontId="0" fillId="0" borderId="0" xfId="0" applyAlignment="1">
      <alignment horizontal="left" vertical="center" wrapText="1"/>
    </xf>
    <xf numFmtId="0" fontId="1" fillId="0" borderId="0" xfId="0" applyFont="1" applyAlignment="1">
      <alignment horizontal="left" vertical="center"/>
    </xf>
    <xf numFmtId="0" fontId="1" fillId="0" borderId="2" xfId="0" applyFont="1" applyBorder="1" applyAlignment="1">
      <alignment horizontal="left" vertical="center"/>
    </xf>
    <xf numFmtId="0" fontId="1" fillId="0" borderId="2" xfId="0" applyFont="1" applyBorder="1" applyAlignment="1">
      <alignment horizontal="left" vertical="center" wrapText="1"/>
    </xf>
    <xf numFmtId="0" fontId="0" fillId="0" borderId="2" xfId="0" applyBorder="1" applyAlignment="1">
      <alignment horizontal="left" vertical="center"/>
    </xf>
    <xf numFmtId="0" fontId="0" fillId="0" borderId="2" xfId="0" applyBorder="1" applyAlignment="1">
      <alignment horizontal="left" vertical="center" wrapText="1"/>
    </xf>
    <xf numFmtId="0" fontId="1" fillId="0" borderId="2" xfId="0" applyFont="1" applyBorder="1" applyAlignment="1">
      <alignment vertical="center"/>
    </xf>
    <xf numFmtId="0" fontId="0" fillId="0" borderId="2" xfId="0" applyBorder="1" applyAlignment="1">
      <alignment vertical="center" wrapText="1"/>
    </xf>
    <xf numFmtId="0" fontId="8" fillId="0" borderId="2" xfId="0" applyFont="1" applyBorder="1" applyAlignment="1">
      <alignment horizontal="center" vertical="top"/>
    </xf>
    <xf numFmtId="0" fontId="2" fillId="0" borderId="2" xfId="0" applyFont="1" applyBorder="1"/>
    <xf numFmtId="0" fontId="3" fillId="0" borderId="2" xfId="0" applyFont="1" applyBorder="1"/>
    <xf numFmtId="0" fontId="8" fillId="0" borderId="2" xfId="0" applyFont="1" applyBorder="1" applyAlignment="1">
      <alignment horizontal="left" vertical="center" wrapText="1"/>
    </xf>
    <xf numFmtId="0" fontId="2" fillId="0" borderId="2" xfId="0" applyFont="1" applyBorder="1" applyAlignment="1">
      <alignment horizontal="left"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2" fillId="0" borderId="0" xfId="0" applyFont="1" applyAlignment="1">
      <alignment horizontal="center"/>
    </xf>
    <xf numFmtId="0" fontId="3" fillId="0" borderId="0" xfId="0" applyFont="1" applyAlignment="1">
      <alignment horizontal="center" vertical="center"/>
    </xf>
    <xf numFmtId="0" fontId="3" fillId="0" borderId="2" xfId="0" applyFont="1" applyBorder="1" applyAlignment="1">
      <alignment horizontal="center"/>
    </xf>
    <xf numFmtId="0" fontId="3" fillId="0" borderId="2" xfId="0" applyFont="1" applyBorder="1" applyAlignment="1">
      <alignment horizontal="center" vertical="center" textRotation="90"/>
    </xf>
    <xf numFmtId="0" fontId="2" fillId="0" borderId="2" xfId="0" applyFont="1" applyBorder="1" applyAlignment="1">
      <alignment horizontal="center"/>
    </xf>
    <xf numFmtId="0" fontId="2" fillId="0" borderId="0" xfId="0" applyFont="1"/>
    <xf numFmtId="0" fontId="2" fillId="0" borderId="0" xfId="0" applyFont="1" applyAlignment="1">
      <alignment horizontal="left" vertical="center"/>
    </xf>
    <xf numFmtId="0" fontId="2" fillId="0" borderId="0" xfId="0" applyFont="1" applyAlignment="1">
      <alignment wrapText="1"/>
    </xf>
    <xf numFmtId="0" fontId="1" fillId="0" borderId="0" xfId="0" applyFont="1" applyAlignment="1">
      <alignment horizontal="center" vertical="center"/>
    </xf>
    <xf numFmtId="0" fontId="1" fillId="0" borderId="2" xfId="0" applyFont="1" applyBorder="1" applyAlignment="1">
      <alignment horizontal="left" vertical="center" wrapText="1"/>
    </xf>
    <xf numFmtId="0" fontId="0" fillId="0" borderId="2" xfId="0" applyBorder="1" applyAlignment="1">
      <alignment horizontal="left" vertical="center" wrapText="1"/>
    </xf>
    <xf numFmtId="0" fontId="11" fillId="0" borderId="3" xfId="2" applyAlignment="1">
      <alignment horizontal="center" vertical="center"/>
    </xf>
    <xf numFmtId="0" fontId="11" fillId="0" borderId="3" xfId="2"/>
    <xf numFmtId="0" fontId="11" fillId="0" borderId="0" xfId="2" applyBorder="1" applyAlignment="1">
      <alignment horizontal="center" vertical="center"/>
    </xf>
  </cellXfs>
  <cellStyles count="3">
    <cellStyle name="Heading 2" xfId="2" builtinId="17"/>
    <cellStyle name="Normal" xfId="0" builtinId="0"/>
    <cellStyle name="Normal 2" xfId="1" xr:uid="{FE01DAD5-142A-449E-B830-498212D7EEE1}"/>
  </cellStyles>
  <dxfs count="3">
    <dxf>
      <fill>
        <patternFill patternType="solid">
          <fgColor rgb="FFC8E6C9"/>
          <bgColor rgb="FFC8E6C9"/>
        </patternFill>
      </fill>
    </dxf>
    <dxf>
      <fill>
        <patternFill patternType="solid">
          <fgColor rgb="FFFFF59D"/>
          <bgColor rgb="FFFFF59D"/>
        </patternFill>
      </fill>
    </dxf>
    <dxf>
      <fill>
        <patternFill patternType="solid">
          <fgColor rgb="FFFF6666"/>
          <bgColor rgb="FFFF666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73E4D-FF5F-45BB-B032-746A1F676355}">
  <dimension ref="B3:I17"/>
  <sheetViews>
    <sheetView workbookViewId="0">
      <selection activeCell="E3" sqref="E3:I3"/>
    </sheetView>
  </sheetViews>
  <sheetFormatPr defaultRowHeight="13.8" x14ac:dyDescent="0.25"/>
  <cols>
    <col min="1" max="3" width="8.88671875" style="2"/>
    <col min="4" max="4" width="5" style="2" customWidth="1"/>
    <col min="5" max="5" width="6.77734375" style="2" customWidth="1"/>
    <col min="6" max="6" width="14.5546875" style="2" customWidth="1"/>
    <col min="7" max="7" width="22" style="2" customWidth="1"/>
    <col min="8" max="8" width="22.33203125" style="2" customWidth="1"/>
    <col min="9" max="9" width="20.88671875" style="2" customWidth="1"/>
    <col min="10" max="16384" width="8.88671875" style="2"/>
  </cols>
  <sheetData>
    <row r="3" spans="2:9" ht="31.8" x14ac:dyDescent="0.25">
      <c r="E3" s="25" t="s">
        <v>56</v>
      </c>
      <c r="F3" s="25"/>
      <c r="G3" s="25"/>
      <c r="H3" s="25"/>
      <c r="I3" s="25"/>
    </row>
    <row r="4" spans="2:9" ht="24.6" x14ac:dyDescent="0.25">
      <c r="E4" s="26" t="s">
        <v>57</v>
      </c>
      <c r="F4" s="26"/>
      <c r="G4" s="26"/>
      <c r="H4" s="26"/>
      <c r="I4" s="26"/>
    </row>
    <row r="5" spans="2:9" x14ac:dyDescent="0.25">
      <c r="E5" s="27" t="s">
        <v>58</v>
      </c>
      <c r="F5" s="27"/>
      <c r="G5" s="27"/>
      <c r="H5" s="27"/>
      <c r="I5" s="27"/>
    </row>
    <row r="7" spans="2:9" ht="14.4" thickBot="1" x14ac:dyDescent="0.3"/>
    <row r="8" spans="2:9" ht="15" thickTop="1" thickBot="1" x14ac:dyDescent="0.3">
      <c r="B8" s="28"/>
      <c r="C8" s="28"/>
      <c r="G8" s="4" t="s">
        <v>59</v>
      </c>
      <c r="H8" s="5" t="s">
        <v>56</v>
      </c>
    </row>
    <row r="9" spans="2:9" ht="15" thickTop="1" thickBot="1" x14ac:dyDescent="0.3">
      <c r="B9" s="3"/>
      <c r="C9" s="3"/>
      <c r="G9" s="4" t="s">
        <v>61</v>
      </c>
      <c r="H9" s="5" t="s">
        <v>62</v>
      </c>
    </row>
    <row r="10" spans="2:9" ht="15" thickTop="1" thickBot="1" x14ac:dyDescent="0.3">
      <c r="B10" s="3"/>
      <c r="C10" s="3"/>
      <c r="G10" s="4" t="s">
        <v>63</v>
      </c>
      <c r="H10" s="5" t="s">
        <v>54</v>
      </c>
    </row>
    <row r="11" spans="2:9" ht="15" thickTop="1" thickBot="1" x14ac:dyDescent="0.3">
      <c r="B11" s="3"/>
      <c r="C11" s="3"/>
      <c r="G11" s="4" t="s">
        <v>65</v>
      </c>
      <c r="H11" s="5" t="s">
        <v>66</v>
      </c>
    </row>
    <row r="12" spans="2:9" ht="15" thickTop="1" thickBot="1" x14ac:dyDescent="0.3">
      <c r="B12" s="3"/>
      <c r="C12" s="3"/>
      <c r="G12" s="4" t="s">
        <v>67</v>
      </c>
      <c r="H12" s="5" t="s">
        <v>68</v>
      </c>
    </row>
    <row r="13" spans="2:9" ht="14.4" thickTop="1" x14ac:dyDescent="0.25">
      <c r="B13" s="3"/>
      <c r="C13" s="3"/>
      <c r="G13" s="3"/>
      <c r="H13" s="6"/>
    </row>
    <row r="14" spans="2:9" ht="14.4" thickBot="1" x14ac:dyDescent="0.3">
      <c r="B14" s="3"/>
      <c r="C14" s="3"/>
      <c r="G14" s="7"/>
      <c r="H14" s="7"/>
    </row>
    <row r="15" spans="2:9" ht="15" thickTop="1" thickBot="1" x14ac:dyDescent="0.3">
      <c r="B15" s="3"/>
      <c r="C15" s="3"/>
      <c r="G15" s="4" t="s">
        <v>69</v>
      </c>
      <c r="H15" s="8" t="s">
        <v>70</v>
      </c>
    </row>
    <row r="16" spans="2:9" ht="15" thickTop="1" thickBot="1" x14ac:dyDescent="0.3">
      <c r="B16" s="3"/>
      <c r="C16" s="3"/>
      <c r="G16" s="4" t="s">
        <v>71</v>
      </c>
      <c r="H16" s="5" t="s">
        <v>72</v>
      </c>
    </row>
    <row r="17" ht="14.4" thickTop="1" x14ac:dyDescent="0.25"/>
  </sheetData>
  <mergeCells count="4">
    <mergeCell ref="E3:I3"/>
    <mergeCell ref="E4:I4"/>
    <mergeCell ref="E5:I5"/>
    <mergeCell ref="B8:C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E0024-5EE7-4C19-A2E4-7A4F4B211B83}">
  <dimension ref="A1:O30"/>
  <sheetViews>
    <sheetView zoomScale="75" workbookViewId="0">
      <selection activeCell="M10" sqref="M10:O14"/>
    </sheetView>
  </sheetViews>
  <sheetFormatPr defaultRowHeight="13.8" x14ac:dyDescent="0.25"/>
  <cols>
    <col min="1" max="1" width="19.33203125" style="2" customWidth="1"/>
    <col min="2" max="2" width="14.77734375" style="2" customWidth="1"/>
    <col min="3" max="3" width="27.88671875" style="2" customWidth="1"/>
    <col min="4" max="4" width="4.77734375" style="2" customWidth="1"/>
    <col min="5" max="5" width="12.33203125" style="2" customWidth="1"/>
    <col min="6" max="9" width="8.88671875" style="2"/>
    <col min="10" max="10" width="11.77734375" style="2" customWidth="1"/>
    <col min="11" max="13" width="8.88671875" style="2"/>
    <col min="14" max="14" width="22.21875" style="2" customWidth="1"/>
    <col min="15" max="15" width="23.88671875" style="2" customWidth="1"/>
    <col min="16" max="16384" width="8.88671875" style="2"/>
  </cols>
  <sheetData>
    <row r="1" spans="1:15" x14ac:dyDescent="0.25">
      <c r="A1" s="29" t="s">
        <v>478</v>
      </c>
      <c r="B1" s="29"/>
      <c r="C1" s="29"/>
    </row>
    <row r="2" spans="1:15" x14ac:dyDescent="0.25">
      <c r="A2" s="20" t="s">
        <v>467</v>
      </c>
      <c r="B2" s="20" t="s">
        <v>9</v>
      </c>
      <c r="C2" s="20" t="s">
        <v>468</v>
      </c>
    </row>
    <row r="3" spans="1:15" x14ac:dyDescent="0.25">
      <c r="A3" s="21" t="s">
        <v>469</v>
      </c>
      <c r="B3" s="21" t="s">
        <v>470</v>
      </c>
      <c r="C3" s="21" t="s">
        <v>471</v>
      </c>
    </row>
    <row r="4" spans="1:15" x14ac:dyDescent="0.25">
      <c r="A4" s="21" t="s">
        <v>472</v>
      </c>
      <c r="B4" s="21" t="s">
        <v>473</v>
      </c>
      <c r="C4" s="21" t="s">
        <v>474</v>
      </c>
    </row>
    <row r="5" spans="1:15" x14ac:dyDescent="0.25">
      <c r="A5" s="21" t="s">
        <v>475</v>
      </c>
      <c r="B5" s="21" t="s">
        <v>476</v>
      </c>
      <c r="C5" s="21" t="s">
        <v>477</v>
      </c>
    </row>
    <row r="10" spans="1:15" ht="28.8" x14ac:dyDescent="0.25">
      <c r="D10" s="29" t="s">
        <v>64</v>
      </c>
      <c r="E10" s="29"/>
      <c r="F10" s="29"/>
      <c r="G10" s="29"/>
      <c r="H10" s="29"/>
      <c r="I10" s="29"/>
      <c r="J10" s="29"/>
      <c r="M10" s="15" t="s">
        <v>716</v>
      </c>
      <c r="N10" s="36" t="s">
        <v>718</v>
      </c>
      <c r="O10" s="36"/>
    </row>
    <row r="11" spans="1:15" ht="57.6" customHeight="1" x14ac:dyDescent="0.25">
      <c r="D11" s="22"/>
      <c r="E11" s="22"/>
      <c r="F11" s="29" t="s">
        <v>486</v>
      </c>
      <c r="G11" s="29"/>
      <c r="H11" s="29"/>
      <c r="I11" s="29"/>
      <c r="J11" s="29"/>
      <c r="M11" s="15" t="s">
        <v>719</v>
      </c>
      <c r="N11" s="37" t="s">
        <v>720</v>
      </c>
      <c r="O11" s="37"/>
    </row>
    <row r="12" spans="1:15" ht="43.2" customHeight="1" x14ac:dyDescent="0.25">
      <c r="D12" s="30" t="s">
        <v>487</v>
      </c>
      <c r="E12" s="21"/>
      <c r="F12" s="21">
        <v>1</v>
      </c>
      <c r="G12" s="21">
        <v>2</v>
      </c>
      <c r="H12" s="21">
        <v>3</v>
      </c>
      <c r="I12" s="21">
        <v>4</v>
      </c>
      <c r="J12" s="21">
        <v>5</v>
      </c>
      <c r="M12" s="15" t="s">
        <v>721</v>
      </c>
      <c r="N12" s="37" t="s">
        <v>722</v>
      </c>
      <c r="O12" s="37"/>
    </row>
    <row r="13" spans="1:15" ht="43.2" customHeight="1" x14ac:dyDescent="0.25">
      <c r="D13" s="30"/>
      <c r="E13" s="21" t="s">
        <v>480</v>
      </c>
      <c r="F13" s="21" t="s">
        <v>470</v>
      </c>
      <c r="G13" s="21" t="s">
        <v>470</v>
      </c>
      <c r="H13" s="21" t="s">
        <v>470</v>
      </c>
      <c r="I13" s="21" t="s">
        <v>473</v>
      </c>
      <c r="J13" s="21" t="s">
        <v>473</v>
      </c>
      <c r="M13" s="15" t="s">
        <v>717</v>
      </c>
      <c r="N13" s="37" t="s">
        <v>723</v>
      </c>
      <c r="O13" s="37"/>
    </row>
    <row r="14" spans="1:15" ht="57.6" customHeight="1" x14ac:dyDescent="0.25">
      <c r="D14" s="30"/>
      <c r="E14" s="21" t="s">
        <v>481</v>
      </c>
      <c r="F14" s="21" t="s">
        <v>470</v>
      </c>
      <c r="G14" s="21" t="s">
        <v>470</v>
      </c>
      <c r="H14" s="21" t="s">
        <v>473</v>
      </c>
      <c r="I14" s="21" t="s">
        <v>473</v>
      </c>
      <c r="J14" s="21" t="s">
        <v>476</v>
      </c>
      <c r="M14" s="15" t="s">
        <v>724</v>
      </c>
      <c r="N14" s="37" t="s">
        <v>725</v>
      </c>
      <c r="O14" s="37"/>
    </row>
    <row r="15" spans="1:15" x14ac:dyDescent="0.25">
      <c r="D15" s="30"/>
      <c r="E15" s="21" t="s">
        <v>482</v>
      </c>
      <c r="F15" s="21" t="s">
        <v>470</v>
      </c>
      <c r="G15" s="21" t="s">
        <v>473</v>
      </c>
      <c r="H15" s="21" t="s">
        <v>473</v>
      </c>
      <c r="I15" s="21" t="s">
        <v>476</v>
      </c>
      <c r="J15" s="21" t="s">
        <v>476</v>
      </c>
    </row>
    <row r="16" spans="1:15" x14ac:dyDescent="0.25">
      <c r="D16" s="30"/>
      <c r="E16" s="21" t="s">
        <v>483</v>
      </c>
      <c r="F16" s="21" t="s">
        <v>473</v>
      </c>
      <c r="G16" s="21" t="s">
        <v>473</v>
      </c>
      <c r="H16" s="21" t="s">
        <v>476</v>
      </c>
      <c r="I16" s="21" t="s">
        <v>476</v>
      </c>
      <c r="J16" s="21" t="s">
        <v>484</v>
      </c>
    </row>
    <row r="17" spans="4:15" x14ac:dyDescent="0.25">
      <c r="D17" s="30"/>
      <c r="E17" s="21" t="s">
        <v>485</v>
      </c>
      <c r="F17" s="21" t="s">
        <v>473</v>
      </c>
      <c r="G17" s="21" t="s">
        <v>476</v>
      </c>
      <c r="H17" s="21" t="s">
        <v>476</v>
      </c>
      <c r="I17" s="21" t="s">
        <v>484</v>
      </c>
      <c r="J17" s="21" t="s">
        <v>484</v>
      </c>
    </row>
    <row r="24" spans="4:15" x14ac:dyDescent="0.25">
      <c r="M24" s="29" t="s">
        <v>60</v>
      </c>
      <c r="N24" s="31"/>
      <c r="O24" s="31"/>
    </row>
    <row r="25" spans="4:15" x14ac:dyDescent="0.25">
      <c r="M25" s="23" t="s">
        <v>488</v>
      </c>
      <c r="N25" s="23" t="s">
        <v>489</v>
      </c>
      <c r="O25" s="23" t="s">
        <v>490</v>
      </c>
    </row>
    <row r="26" spans="4:15" ht="43.2" customHeight="1" x14ac:dyDescent="0.25">
      <c r="M26" s="24">
        <v>1</v>
      </c>
      <c r="N26" s="24" t="s">
        <v>491</v>
      </c>
      <c r="O26" s="24" t="s">
        <v>492</v>
      </c>
    </row>
    <row r="27" spans="4:15" ht="37.200000000000003" customHeight="1" x14ac:dyDescent="0.25">
      <c r="M27" s="24">
        <v>2</v>
      </c>
      <c r="N27" s="24" t="s">
        <v>493</v>
      </c>
      <c r="O27" s="24" t="s">
        <v>494</v>
      </c>
    </row>
    <row r="28" spans="4:15" ht="53.4" customHeight="1" x14ac:dyDescent="0.25">
      <c r="M28" s="24">
        <v>3</v>
      </c>
      <c r="N28" s="24" t="s">
        <v>495</v>
      </c>
      <c r="O28" s="24" t="s">
        <v>496</v>
      </c>
    </row>
    <row r="29" spans="4:15" ht="57.6" customHeight="1" x14ac:dyDescent="0.25">
      <c r="M29" s="24">
        <v>4</v>
      </c>
      <c r="N29" s="24" t="s">
        <v>497</v>
      </c>
      <c r="O29" s="24" t="s">
        <v>498</v>
      </c>
    </row>
    <row r="30" spans="4:15" ht="53.4" customHeight="1" x14ac:dyDescent="0.25">
      <c r="M30" s="24">
        <v>5</v>
      </c>
      <c r="N30" s="24" t="s">
        <v>499</v>
      </c>
      <c r="O30" s="24" t="s">
        <v>500</v>
      </c>
    </row>
  </sheetData>
  <mergeCells count="10">
    <mergeCell ref="A1:C1"/>
    <mergeCell ref="F11:J11"/>
    <mergeCell ref="D12:D17"/>
    <mergeCell ref="D10:J10"/>
    <mergeCell ref="M24:O24"/>
    <mergeCell ref="N10:O10"/>
    <mergeCell ref="N11:O11"/>
    <mergeCell ref="N12:O12"/>
    <mergeCell ref="N13:O13"/>
    <mergeCell ref="N14:O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5"/>
  <sheetViews>
    <sheetView tabSelected="1" topLeftCell="B1" zoomScale="75" workbookViewId="0">
      <pane ySplit="5" topLeftCell="A6" activePane="bottomLeft" state="frozen"/>
      <selection pane="bottomLeft" sqref="A1:P1"/>
    </sheetView>
  </sheetViews>
  <sheetFormatPr defaultRowHeight="13.8" x14ac:dyDescent="0.25"/>
  <cols>
    <col min="1" max="1" width="10" style="2" customWidth="1"/>
    <col min="2" max="2" width="22" style="2" customWidth="1"/>
    <col min="3" max="3" width="18" style="2" customWidth="1"/>
    <col min="4" max="4" width="20" style="2" customWidth="1"/>
    <col min="5" max="5" width="16" style="2" customWidth="1"/>
    <col min="6" max="6" width="14" style="2" customWidth="1"/>
    <col min="7" max="7" width="18.77734375" style="2" customWidth="1"/>
    <col min="8" max="8" width="12" style="2" customWidth="1"/>
    <col min="9" max="10" width="22" style="2" customWidth="1"/>
    <col min="11" max="11" width="18" style="2" customWidth="1"/>
    <col min="12" max="13" width="16" style="2" customWidth="1"/>
    <col min="14" max="15" width="14" style="2" customWidth="1"/>
    <col min="16" max="16" width="24" style="2" customWidth="1"/>
    <col min="17" max="16384" width="8.88671875" style="2"/>
  </cols>
  <sheetData>
    <row r="1" spans="1:16" ht="18" thickBot="1" x14ac:dyDescent="0.4">
      <c r="A1" s="38" t="s">
        <v>0</v>
      </c>
      <c r="B1" s="39"/>
      <c r="C1" s="39"/>
      <c r="D1" s="39"/>
      <c r="E1" s="39"/>
      <c r="F1" s="39"/>
      <c r="G1" s="39"/>
      <c r="H1" s="39"/>
      <c r="I1" s="39"/>
      <c r="J1" s="39"/>
      <c r="K1" s="39"/>
      <c r="L1" s="39"/>
      <c r="M1" s="39"/>
      <c r="N1" s="39"/>
      <c r="O1" s="39"/>
      <c r="P1" s="39"/>
    </row>
    <row r="2" spans="1:16" ht="14.4" thickTop="1" x14ac:dyDescent="0.25">
      <c r="A2" s="33" t="s">
        <v>1</v>
      </c>
      <c r="B2" s="32"/>
      <c r="C2" s="32"/>
      <c r="D2" s="32"/>
      <c r="E2" s="32"/>
      <c r="F2" s="32"/>
      <c r="G2" s="32"/>
      <c r="H2" s="32"/>
      <c r="I2" s="32"/>
      <c r="J2" s="32"/>
      <c r="K2" s="32"/>
      <c r="L2" s="32"/>
      <c r="M2" s="32"/>
      <c r="N2" s="32"/>
      <c r="O2" s="32"/>
      <c r="P2" s="32"/>
    </row>
    <row r="3" spans="1:16" x14ac:dyDescent="0.25">
      <c r="A3" s="34" t="s">
        <v>2</v>
      </c>
      <c r="B3" s="32"/>
      <c r="C3" s="32"/>
      <c r="D3" s="32"/>
      <c r="E3" s="32"/>
      <c r="F3" s="32"/>
      <c r="G3" s="32"/>
      <c r="H3" s="32"/>
      <c r="I3" s="32"/>
      <c r="J3" s="32"/>
      <c r="K3" s="32"/>
      <c r="L3" s="32"/>
      <c r="M3" s="32"/>
      <c r="N3" s="32"/>
      <c r="O3" s="32"/>
      <c r="P3" s="32"/>
    </row>
    <row r="5" spans="1:16" ht="27.6" x14ac:dyDescent="0.25">
      <c r="A5" s="9" t="s">
        <v>3</v>
      </c>
      <c r="B5" s="9" t="s">
        <v>4</v>
      </c>
      <c r="C5" s="9" t="s">
        <v>5</v>
      </c>
      <c r="D5" s="9" t="s">
        <v>6</v>
      </c>
      <c r="E5" s="9" t="s">
        <v>7</v>
      </c>
      <c r="F5" s="9" t="s">
        <v>8</v>
      </c>
      <c r="G5" s="9" t="s">
        <v>73</v>
      </c>
      <c r="H5" s="9" t="s">
        <v>9</v>
      </c>
      <c r="I5" s="9" t="s">
        <v>10</v>
      </c>
      <c r="J5" s="9" t="s">
        <v>11</v>
      </c>
      <c r="K5" s="9" t="s">
        <v>12</v>
      </c>
      <c r="L5" s="9" t="s">
        <v>13</v>
      </c>
      <c r="M5" s="9" t="s">
        <v>716</v>
      </c>
      <c r="N5" s="9" t="s">
        <v>14</v>
      </c>
      <c r="O5" s="9" t="s">
        <v>15</v>
      </c>
      <c r="P5" s="9" t="s">
        <v>16</v>
      </c>
    </row>
    <row r="6" spans="1:16" x14ac:dyDescent="0.25">
      <c r="A6" s="2" t="s">
        <v>17</v>
      </c>
      <c r="B6" s="2" t="s">
        <v>18</v>
      </c>
      <c r="C6" s="2" t="s">
        <v>19</v>
      </c>
      <c r="D6" s="2" t="s">
        <v>20</v>
      </c>
      <c r="E6" s="2">
        <v>4</v>
      </c>
      <c r="F6" s="2">
        <v>4</v>
      </c>
      <c r="G6" s="2">
        <f t="shared" ref="G6:G37" si="0">E6*F6</f>
        <v>16</v>
      </c>
      <c r="H6" s="2" t="str">
        <f t="shared" ref="H6:H37" si="1">IF(G6&lt;=7,"Low",IF(G6&lt;=14,"Medium","High"))</f>
        <v>High</v>
      </c>
      <c r="I6" s="2" t="s">
        <v>21</v>
      </c>
      <c r="J6" s="2" t="s">
        <v>22</v>
      </c>
      <c r="K6" s="2" t="s">
        <v>23</v>
      </c>
      <c r="L6" s="2" t="s">
        <v>24</v>
      </c>
      <c r="M6" s="2" t="s">
        <v>717</v>
      </c>
      <c r="N6" s="2" t="s">
        <v>25</v>
      </c>
      <c r="O6" s="2" t="s">
        <v>26</v>
      </c>
    </row>
    <row r="7" spans="1:16" x14ac:dyDescent="0.25">
      <c r="A7" s="2" t="s">
        <v>27</v>
      </c>
      <c r="B7" s="2" t="s">
        <v>28</v>
      </c>
      <c r="C7" s="2" t="s">
        <v>29</v>
      </c>
      <c r="D7" s="2" t="s">
        <v>30</v>
      </c>
      <c r="E7" s="2">
        <v>3</v>
      </c>
      <c r="F7" s="2">
        <v>5</v>
      </c>
      <c r="G7" s="2">
        <f t="shared" si="0"/>
        <v>15</v>
      </c>
      <c r="H7" s="2" t="str">
        <f t="shared" si="1"/>
        <v>High</v>
      </c>
      <c r="I7" s="2" t="s">
        <v>31</v>
      </c>
      <c r="J7" s="2" t="s">
        <v>32</v>
      </c>
      <c r="K7" s="2" t="s">
        <v>33</v>
      </c>
      <c r="L7" s="2" t="s">
        <v>34</v>
      </c>
      <c r="N7" s="2" t="s">
        <v>35</v>
      </c>
      <c r="O7" s="2" t="s">
        <v>26</v>
      </c>
    </row>
    <row r="8" spans="1:16" x14ac:dyDescent="0.25">
      <c r="A8" s="2" t="s">
        <v>36</v>
      </c>
      <c r="B8" s="2" t="s">
        <v>37</v>
      </c>
      <c r="C8" s="2" t="s">
        <v>38</v>
      </c>
      <c r="D8" s="2" t="s">
        <v>39</v>
      </c>
      <c r="E8" s="2">
        <v>2</v>
      </c>
      <c r="F8" s="2">
        <v>3</v>
      </c>
      <c r="G8" s="2">
        <f t="shared" si="0"/>
        <v>6</v>
      </c>
      <c r="H8" s="2" t="str">
        <f t="shared" si="1"/>
        <v>Low</v>
      </c>
      <c r="I8" s="2" t="s">
        <v>40</v>
      </c>
      <c r="J8" s="2" t="s">
        <v>41</v>
      </c>
      <c r="K8" s="2" t="s">
        <v>42</v>
      </c>
      <c r="L8" s="2" t="s">
        <v>43</v>
      </c>
      <c r="N8" s="2" t="s">
        <v>44</v>
      </c>
      <c r="O8" s="2" t="s">
        <v>26</v>
      </c>
    </row>
    <row r="9" spans="1:16" x14ac:dyDescent="0.25">
      <c r="A9" s="2" t="s">
        <v>45</v>
      </c>
      <c r="B9" s="10" t="s">
        <v>46</v>
      </c>
      <c r="C9" s="10" t="s">
        <v>47</v>
      </c>
      <c r="D9" s="10" t="s">
        <v>48</v>
      </c>
      <c r="G9" s="2">
        <f t="shared" si="0"/>
        <v>0</v>
      </c>
      <c r="H9" s="2" t="str">
        <f t="shared" si="1"/>
        <v>Low</v>
      </c>
      <c r="I9" s="2" t="s">
        <v>49</v>
      </c>
      <c r="J9" s="2" t="s">
        <v>50</v>
      </c>
      <c r="K9" s="2" t="s">
        <v>51</v>
      </c>
      <c r="L9" s="2" t="s">
        <v>52</v>
      </c>
      <c r="N9" s="2" t="s">
        <v>53</v>
      </c>
      <c r="O9" s="2" t="s">
        <v>54</v>
      </c>
      <c r="P9" s="2" t="s">
        <v>55</v>
      </c>
    </row>
    <row r="10" spans="1:16" x14ac:dyDescent="0.25">
      <c r="A10" s="2" t="s">
        <v>74</v>
      </c>
      <c r="G10" s="2">
        <f t="shared" si="0"/>
        <v>0</v>
      </c>
      <c r="H10" s="2" t="str">
        <f t="shared" si="1"/>
        <v>Low</v>
      </c>
    </row>
    <row r="11" spans="1:16" x14ac:dyDescent="0.25">
      <c r="A11" s="2" t="s">
        <v>75</v>
      </c>
      <c r="G11" s="2">
        <f t="shared" si="0"/>
        <v>0</v>
      </c>
      <c r="H11" s="2" t="str">
        <f t="shared" si="1"/>
        <v>Low</v>
      </c>
    </row>
    <row r="12" spans="1:16" x14ac:dyDescent="0.25">
      <c r="A12" s="2" t="s">
        <v>76</v>
      </c>
      <c r="G12" s="2">
        <f t="shared" si="0"/>
        <v>0</v>
      </c>
      <c r="H12" s="2" t="str">
        <f t="shared" si="1"/>
        <v>Low</v>
      </c>
    </row>
    <row r="13" spans="1:16" x14ac:dyDescent="0.25">
      <c r="A13" s="2" t="s">
        <v>77</v>
      </c>
      <c r="G13" s="2">
        <f t="shared" si="0"/>
        <v>0</v>
      </c>
      <c r="H13" s="2" t="str">
        <f t="shared" si="1"/>
        <v>Low</v>
      </c>
    </row>
    <row r="14" spans="1:16" x14ac:dyDescent="0.25">
      <c r="A14" s="2" t="s">
        <v>78</v>
      </c>
      <c r="G14" s="2">
        <f t="shared" si="0"/>
        <v>0</v>
      </c>
      <c r="H14" s="2" t="str">
        <f t="shared" si="1"/>
        <v>Low</v>
      </c>
    </row>
    <row r="15" spans="1:16" x14ac:dyDescent="0.25">
      <c r="A15" s="2" t="s">
        <v>79</v>
      </c>
      <c r="G15" s="2">
        <f t="shared" si="0"/>
        <v>0</v>
      </c>
      <c r="H15" s="2" t="str">
        <f t="shared" si="1"/>
        <v>Low</v>
      </c>
    </row>
    <row r="16" spans="1:16" x14ac:dyDescent="0.25">
      <c r="A16" s="2" t="s">
        <v>80</v>
      </c>
      <c r="G16" s="2">
        <f t="shared" si="0"/>
        <v>0</v>
      </c>
      <c r="H16" s="2" t="str">
        <f t="shared" si="1"/>
        <v>Low</v>
      </c>
    </row>
    <row r="17" spans="1:8" x14ac:dyDescent="0.25">
      <c r="A17" s="2" t="s">
        <v>81</v>
      </c>
      <c r="G17" s="2">
        <f t="shared" si="0"/>
        <v>0</v>
      </c>
      <c r="H17" s="2" t="str">
        <f t="shared" si="1"/>
        <v>Low</v>
      </c>
    </row>
    <row r="18" spans="1:8" x14ac:dyDescent="0.25">
      <c r="A18" s="2" t="s">
        <v>82</v>
      </c>
      <c r="G18" s="2">
        <f t="shared" si="0"/>
        <v>0</v>
      </c>
      <c r="H18" s="2" t="str">
        <f t="shared" si="1"/>
        <v>Low</v>
      </c>
    </row>
    <row r="19" spans="1:8" x14ac:dyDescent="0.25">
      <c r="A19" s="2" t="s">
        <v>83</v>
      </c>
      <c r="G19" s="2">
        <f t="shared" si="0"/>
        <v>0</v>
      </c>
      <c r="H19" s="2" t="str">
        <f t="shared" si="1"/>
        <v>Low</v>
      </c>
    </row>
    <row r="20" spans="1:8" x14ac:dyDescent="0.25">
      <c r="A20" s="2" t="s">
        <v>84</v>
      </c>
      <c r="G20" s="2">
        <f t="shared" si="0"/>
        <v>0</v>
      </c>
      <c r="H20" s="2" t="str">
        <f t="shared" si="1"/>
        <v>Low</v>
      </c>
    </row>
    <row r="21" spans="1:8" x14ac:dyDescent="0.25">
      <c r="A21" s="2" t="s">
        <v>85</v>
      </c>
      <c r="G21" s="2">
        <f t="shared" si="0"/>
        <v>0</v>
      </c>
      <c r="H21" s="2" t="str">
        <f t="shared" si="1"/>
        <v>Low</v>
      </c>
    </row>
    <row r="22" spans="1:8" x14ac:dyDescent="0.25">
      <c r="A22" s="2" t="s">
        <v>86</v>
      </c>
      <c r="G22" s="2">
        <f t="shared" si="0"/>
        <v>0</v>
      </c>
      <c r="H22" s="2" t="str">
        <f t="shared" si="1"/>
        <v>Low</v>
      </c>
    </row>
    <row r="23" spans="1:8" x14ac:dyDescent="0.25">
      <c r="A23" s="2" t="s">
        <v>87</v>
      </c>
      <c r="G23" s="2">
        <f t="shared" si="0"/>
        <v>0</v>
      </c>
      <c r="H23" s="2" t="str">
        <f t="shared" si="1"/>
        <v>Low</v>
      </c>
    </row>
    <row r="24" spans="1:8" x14ac:dyDescent="0.25">
      <c r="A24" s="2" t="s">
        <v>88</v>
      </c>
      <c r="G24" s="2">
        <f t="shared" si="0"/>
        <v>0</v>
      </c>
      <c r="H24" s="2" t="str">
        <f t="shared" si="1"/>
        <v>Low</v>
      </c>
    </row>
    <row r="25" spans="1:8" x14ac:dyDescent="0.25">
      <c r="A25" s="2" t="s">
        <v>89</v>
      </c>
      <c r="G25" s="2">
        <f t="shared" si="0"/>
        <v>0</v>
      </c>
      <c r="H25" s="2" t="str">
        <f t="shared" si="1"/>
        <v>Low</v>
      </c>
    </row>
    <row r="26" spans="1:8" x14ac:dyDescent="0.25">
      <c r="A26" s="2" t="s">
        <v>90</v>
      </c>
      <c r="G26" s="2">
        <f t="shared" si="0"/>
        <v>0</v>
      </c>
      <c r="H26" s="2" t="str">
        <f t="shared" si="1"/>
        <v>Low</v>
      </c>
    </row>
    <row r="27" spans="1:8" x14ac:dyDescent="0.25">
      <c r="A27" s="2" t="s">
        <v>91</v>
      </c>
      <c r="G27" s="2">
        <f t="shared" si="0"/>
        <v>0</v>
      </c>
      <c r="H27" s="2" t="str">
        <f t="shared" si="1"/>
        <v>Low</v>
      </c>
    </row>
    <row r="28" spans="1:8" x14ac:dyDescent="0.25">
      <c r="A28" s="2" t="s">
        <v>92</v>
      </c>
      <c r="G28" s="2">
        <f t="shared" si="0"/>
        <v>0</v>
      </c>
      <c r="H28" s="2" t="str">
        <f t="shared" si="1"/>
        <v>Low</v>
      </c>
    </row>
    <row r="29" spans="1:8" x14ac:dyDescent="0.25">
      <c r="A29" s="2" t="s">
        <v>93</v>
      </c>
      <c r="G29" s="2">
        <f t="shared" si="0"/>
        <v>0</v>
      </c>
      <c r="H29" s="2" t="str">
        <f t="shared" si="1"/>
        <v>Low</v>
      </c>
    </row>
    <row r="30" spans="1:8" x14ac:dyDescent="0.25">
      <c r="A30" s="2" t="s">
        <v>94</v>
      </c>
      <c r="G30" s="2">
        <f t="shared" si="0"/>
        <v>0</v>
      </c>
      <c r="H30" s="2" t="str">
        <f t="shared" si="1"/>
        <v>Low</v>
      </c>
    </row>
    <row r="31" spans="1:8" x14ac:dyDescent="0.25">
      <c r="A31" s="2" t="s">
        <v>95</v>
      </c>
      <c r="G31" s="2">
        <f t="shared" si="0"/>
        <v>0</v>
      </c>
      <c r="H31" s="2" t="str">
        <f t="shared" si="1"/>
        <v>Low</v>
      </c>
    </row>
    <row r="32" spans="1:8" x14ac:dyDescent="0.25">
      <c r="A32" s="2" t="s">
        <v>96</v>
      </c>
      <c r="G32" s="2">
        <f t="shared" si="0"/>
        <v>0</v>
      </c>
      <c r="H32" s="2" t="str">
        <f t="shared" si="1"/>
        <v>Low</v>
      </c>
    </row>
    <row r="33" spans="1:8" x14ac:dyDescent="0.25">
      <c r="A33" s="2" t="s">
        <v>97</v>
      </c>
      <c r="G33" s="2">
        <f t="shared" si="0"/>
        <v>0</v>
      </c>
      <c r="H33" s="2" t="str">
        <f t="shared" si="1"/>
        <v>Low</v>
      </c>
    </row>
    <row r="34" spans="1:8" x14ac:dyDescent="0.25">
      <c r="A34" s="2" t="s">
        <v>98</v>
      </c>
      <c r="G34" s="2">
        <f t="shared" si="0"/>
        <v>0</v>
      </c>
      <c r="H34" s="2" t="str">
        <f t="shared" si="1"/>
        <v>Low</v>
      </c>
    </row>
    <row r="35" spans="1:8" x14ac:dyDescent="0.25">
      <c r="A35" s="2" t="s">
        <v>99</v>
      </c>
      <c r="G35" s="2">
        <f t="shared" si="0"/>
        <v>0</v>
      </c>
      <c r="H35" s="2" t="str">
        <f t="shared" si="1"/>
        <v>Low</v>
      </c>
    </row>
    <row r="36" spans="1:8" x14ac:dyDescent="0.25">
      <c r="A36" s="2" t="s">
        <v>100</v>
      </c>
      <c r="G36" s="2">
        <f t="shared" si="0"/>
        <v>0</v>
      </c>
      <c r="H36" s="2" t="str">
        <f t="shared" si="1"/>
        <v>Low</v>
      </c>
    </row>
    <row r="37" spans="1:8" x14ac:dyDescent="0.25">
      <c r="A37" s="2" t="s">
        <v>101</v>
      </c>
      <c r="G37" s="2">
        <f t="shared" si="0"/>
        <v>0</v>
      </c>
      <c r="H37" s="2" t="str">
        <f t="shared" si="1"/>
        <v>Low</v>
      </c>
    </row>
    <row r="38" spans="1:8" x14ac:dyDescent="0.25">
      <c r="A38" s="2" t="s">
        <v>102</v>
      </c>
      <c r="G38" s="2">
        <f t="shared" ref="G38:G69" si="2">E38*F38</f>
        <v>0</v>
      </c>
      <c r="H38" s="2" t="str">
        <f t="shared" ref="H38:H69" si="3">IF(G38&lt;=7,"Low",IF(G38&lt;=14,"Medium","High"))</f>
        <v>Low</v>
      </c>
    </row>
    <row r="39" spans="1:8" x14ac:dyDescent="0.25">
      <c r="A39" s="2" t="s">
        <v>103</v>
      </c>
      <c r="G39" s="2">
        <f t="shared" si="2"/>
        <v>0</v>
      </c>
      <c r="H39" s="2" t="str">
        <f t="shared" si="3"/>
        <v>Low</v>
      </c>
    </row>
    <row r="40" spans="1:8" x14ac:dyDescent="0.25">
      <c r="A40" s="2" t="s">
        <v>104</v>
      </c>
      <c r="G40" s="2">
        <f t="shared" si="2"/>
        <v>0</v>
      </c>
      <c r="H40" s="2" t="str">
        <f t="shared" si="3"/>
        <v>Low</v>
      </c>
    </row>
    <row r="41" spans="1:8" x14ac:dyDescent="0.25">
      <c r="A41" s="2" t="s">
        <v>105</v>
      </c>
      <c r="G41" s="2">
        <f t="shared" si="2"/>
        <v>0</v>
      </c>
      <c r="H41" s="2" t="str">
        <f t="shared" si="3"/>
        <v>Low</v>
      </c>
    </row>
    <row r="42" spans="1:8" x14ac:dyDescent="0.25">
      <c r="A42" s="2" t="s">
        <v>106</v>
      </c>
      <c r="G42" s="2">
        <f t="shared" si="2"/>
        <v>0</v>
      </c>
      <c r="H42" s="2" t="str">
        <f t="shared" si="3"/>
        <v>Low</v>
      </c>
    </row>
    <row r="43" spans="1:8" x14ac:dyDescent="0.25">
      <c r="A43" s="2" t="s">
        <v>107</v>
      </c>
      <c r="G43" s="2">
        <f t="shared" si="2"/>
        <v>0</v>
      </c>
      <c r="H43" s="2" t="str">
        <f t="shared" si="3"/>
        <v>Low</v>
      </c>
    </row>
    <row r="44" spans="1:8" x14ac:dyDescent="0.25">
      <c r="A44" s="2" t="s">
        <v>108</v>
      </c>
      <c r="G44" s="2">
        <f t="shared" si="2"/>
        <v>0</v>
      </c>
      <c r="H44" s="2" t="str">
        <f t="shared" si="3"/>
        <v>Low</v>
      </c>
    </row>
    <row r="45" spans="1:8" x14ac:dyDescent="0.25">
      <c r="A45" s="2" t="s">
        <v>109</v>
      </c>
      <c r="G45" s="2">
        <f t="shared" si="2"/>
        <v>0</v>
      </c>
      <c r="H45" s="2" t="str">
        <f t="shared" si="3"/>
        <v>Low</v>
      </c>
    </row>
    <row r="46" spans="1:8" x14ac:dyDescent="0.25">
      <c r="A46" s="2" t="s">
        <v>110</v>
      </c>
      <c r="G46" s="2">
        <f t="shared" si="2"/>
        <v>0</v>
      </c>
      <c r="H46" s="2" t="str">
        <f t="shared" si="3"/>
        <v>Low</v>
      </c>
    </row>
    <row r="47" spans="1:8" x14ac:dyDescent="0.25">
      <c r="A47" s="2" t="s">
        <v>111</v>
      </c>
      <c r="G47" s="2">
        <f t="shared" si="2"/>
        <v>0</v>
      </c>
      <c r="H47" s="2" t="str">
        <f t="shared" si="3"/>
        <v>Low</v>
      </c>
    </row>
    <row r="48" spans="1:8" x14ac:dyDescent="0.25">
      <c r="A48" s="2" t="s">
        <v>112</v>
      </c>
      <c r="G48" s="2">
        <f t="shared" si="2"/>
        <v>0</v>
      </c>
      <c r="H48" s="2" t="str">
        <f t="shared" si="3"/>
        <v>Low</v>
      </c>
    </row>
    <row r="49" spans="1:8" x14ac:dyDescent="0.25">
      <c r="A49" s="2" t="s">
        <v>113</v>
      </c>
      <c r="G49" s="2">
        <f t="shared" si="2"/>
        <v>0</v>
      </c>
      <c r="H49" s="2" t="str">
        <f t="shared" si="3"/>
        <v>Low</v>
      </c>
    </row>
    <row r="50" spans="1:8" x14ac:dyDescent="0.25">
      <c r="A50" s="2" t="s">
        <v>114</v>
      </c>
      <c r="G50" s="2">
        <f t="shared" si="2"/>
        <v>0</v>
      </c>
      <c r="H50" s="2" t="str">
        <f t="shared" si="3"/>
        <v>Low</v>
      </c>
    </row>
    <row r="51" spans="1:8" x14ac:dyDescent="0.25">
      <c r="A51" s="2" t="s">
        <v>115</v>
      </c>
      <c r="G51" s="2">
        <f t="shared" si="2"/>
        <v>0</v>
      </c>
      <c r="H51" s="2" t="str">
        <f t="shared" si="3"/>
        <v>Low</v>
      </c>
    </row>
    <row r="52" spans="1:8" x14ac:dyDescent="0.25">
      <c r="A52" s="2" t="s">
        <v>116</v>
      </c>
      <c r="G52" s="2">
        <f t="shared" si="2"/>
        <v>0</v>
      </c>
      <c r="H52" s="2" t="str">
        <f t="shared" si="3"/>
        <v>Low</v>
      </c>
    </row>
    <row r="53" spans="1:8" x14ac:dyDescent="0.25">
      <c r="A53" s="2" t="s">
        <v>117</v>
      </c>
      <c r="G53" s="2">
        <f t="shared" si="2"/>
        <v>0</v>
      </c>
      <c r="H53" s="2" t="str">
        <f t="shared" si="3"/>
        <v>Low</v>
      </c>
    </row>
    <row r="54" spans="1:8" x14ac:dyDescent="0.25">
      <c r="A54" s="2" t="s">
        <v>118</v>
      </c>
      <c r="G54" s="2">
        <f t="shared" si="2"/>
        <v>0</v>
      </c>
      <c r="H54" s="2" t="str">
        <f t="shared" si="3"/>
        <v>Low</v>
      </c>
    </row>
    <row r="55" spans="1:8" x14ac:dyDescent="0.25">
      <c r="A55" s="2" t="s">
        <v>119</v>
      </c>
      <c r="G55" s="2">
        <f t="shared" si="2"/>
        <v>0</v>
      </c>
      <c r="H55" s="2" t="str">
        <f t="shared" si="3"/>
        <v>Low</v>
      </c>
    </row>
    <row r="56" spans="1:8" x14ac:dyDescent="0.25">
      <c r="A56" s="2" t="s">
        <v>120</v>
      </c>
      <c r="G56" s="2">
        <f t="shared" si="2"/>
        <v>0</v>
      </c>
      <c r="H56" s="2" t="str">
        <f t="shared" si="3"/>
        <v>Low</v>
      </c>
    </row>
    <row r="57" spans="1:8" x14ac:dyDescent="0.25">
      <c r="A57" s="2" t="s">
        <v>121</v>
      </c>
      <c r="G57" s="2">
        <f t="shared" si="2"/>
        <v>0</v>
      </c>
      <c r="H57" s="2" t="str">
        <f t="shared" si="3"/>
        <v>Low</v>
      </c>
    </row>
    <row r="58" spans="1:8" x14ac:dyDescent="0.25">
      <c r="A58" s="2" t="s">
        <v>122</v>
      </c>
      <c r="G58" s="2">
        <f t="shared" si="2"/>
        <v>0</v>
      </c>
      <c r="H58" s="2" t="str">
        <f t="shared" si="3"/>
        <v>Low</v>
      </c>
    </row>
    <row r="59" spans="1:8" x14ac:dyDescent="0.25">
      <c r="A59" s="2" t="s">
        <v>123</v>
      </c>
      <c r="G59" s="2">
        <f t="shared" si="2"/>
        <v>0</v>
      </c>
      <c r="H59" s="2" t="str">
        <f t="shared" si="3"/>
        <v>Low</v>
      </c>
    </row>
    <row r="60" spans="1:8" x14ac:dyDescent="0.25">
      <c r="A60" s="2" t="s">
        <v>124</v>
      </c>
      <c r="G60" s="2">
        <f t="shared" si="2"/>
        <v>0</v>
      </c>
      <c r="H60" s="2" t="str">
        <f t="shared" si="3"/>
        <v>Low</v>
      </c>
    </row>
    <row r="61" spans="1:8" x14ac:dyDescent="0.25">
      <c r="A61" s="2" t="s">
        <v>125</v>
      </c>
      <c r="G61" s="2">
        <f t="shared" si="2"/>
        <v>0</v>
      </c>
      <c r="H61" s="2" t="str">
        <f t="shared" si="3"/>
        <v>Low</v>
      </c>
    </row>
    <row r="62" spans="1:8" x14ac:dyDescent="0.25">
      <c r="A62" s="2" t="s">
        <v>126</v>
      </c>
      <c r="G62" s="2">
        <f t="shared" si="2"/>
        <v>0</v>
      </c>
      <c r="H62" s="2" t="str">
        <f t="shared" si="3"/>
        <v>Low</v>
      </c>
    </row>
    <row r="63" spans="1:8" x14ac:dyDescent="0.25">
      <c r="A63" s="2" t="s">
        <v>127</v>
      </c>
      <c r="G63" s="2">
        <f t="shared" si="2"/>
        <v>0</v>
      </c>
      <c r="H63" s="2" t="str">
        <f t="shared" si="3"/>
        <v>Low</v>
      </c>
    </row>
    <row r="64" spans="1:8" x14ac:dyDescent="0.25">
      <c r="A64" s="2" t="s">
        <v>128</v>
      </c>
      <c r="G64" s="2">
        <f t="shared" si="2"/>
        <v>0</v>
      </c>
      <c r="H64" s="2" t="str">
        <f t="shared" si="3"/>
        <v>Low</v>
      </c>
    </row>
    <row r="65" spans="1:8" x14ac:dyDescent="0.25">
      <c r="A65" s="2" t="s">
        <v>129</v>
      </c>
      <c r="G65" s="2">
        <f t="shared" si="2"/>
        <v>0</v>
      </c>
      <c r="H65" s="2" t="str">
        <f t="shared" si="3"/>
        <v>Low</v>
      </c>
    </row>
    <row r="66" spans="1:8" x14ac:dyDescent="0.25">
      <c r="A66" s="2" t="s">
        <v>130</v>
      </c>
      <c r="G66" s="2">
        <f t="shared" si="2"/>
        <v>0</v>
      </c>
      <c r="H66" s="2" t="str">
        <f t="shared" si="3"/>
        <v>Low</v>
      </c>
    </row>
    <row r="67" spans="1:8" x14ac:dyDescent="0.25">
      <c r="A67" s="2" t="s">
        <v>131</v>
      </c>
      <c r="G67" s="2">
        <f t="shared" si="2"/>
        <v>0</v>
      </c>
      <c r="H67" s="2" t="str">
        <f t="shared" si="3"/>
        <v>Low</v>
      </c>
    </row>
    <row r="68" spans="1:8" x14ac:dyDescent="0.25">
      <c r="A68" s="2" t="s">
        <v>132</v>
      </c>
      <c r="G68" s="2">
        <f t="shared" si="2"/>
        <v>0</v>
      </c>
      <c r="H68" s="2" t="str">
        <f t="shared" si="3"/>
        <v>Low</v>
      </c>
    </row>
    <row r="69" spans="1:8" x14ac:dyDescent="0.25">
      <c r="A69" s="2" t="s">
        <v>133</v>
      </c>
      <c r="G69" s="2">
        <f t="shared" si="2"/>
        <v>0</v>
      </c>
      <c r="H69" s="2" t="str">
        <f t="shared" si="3"/>
        <v>Low</v>
      </c>
    </row>
    <row r="70" spans="1:8" x14ac:dyDescent="0.25">
      <c r="A70" s="2" t="s">
        <v>134</v>
      </c>
      <c r="G70" s="2">
        <f t="shared" ref="G70:G101" si="4">E70*F70</f>
        <v>0</v>
      </c>
      <c r="H70" s="2" t="str">
        <f t="shared" ref="H70:H101" si="5">IF(G70&lt;=7,"Low",IF(G70&lt;=14,"Medium","High"))</f>
        <v>Low</v>
      </c>
    </row>
    <row r="71" spans="1:8" x14ac:dyDescent="0.25">
      <c r="A71" s="2" t="s">
        <v>135</v>
      </c>
      <c r="G71" s="2">
        <f t="shared" si="4"/>
        <v>0</v>
      </c>
      <c r="H71" s="2" t="str">
        <f t="shared" si="5"/>
        <v>Low</v>
      </c>
    </row>
    <row r="72" spans="1:8" x14ac:dyDescent="0.25">
      <c r="A72" s="2" t="s">
        <v>136</v>
      </c>
      <c r="G72" s="2">
        <f t="shared" si="4"/>
        <v>0</v>
      </c>
      <c r="H72" s="2" t="str">
        <f t="shared" si="5"/>
        <v>Low</v>
      </c>
    </row>
    <row r="73" spans="1:8" x14ac:dyDescent="0.25">
      <c r="A73" s="2" t="s">
        <v>137</v>
      </c>
      <c r="G73" s="2">
        <f t="shared" si="4"/>
        <v>0</v>
      </c>
      <c r="H73" s="2" t="str">
        <f t="shared" si="5"/>
        <v>Low</v>
      </c>
    </row>
    <row r="74" spans="1:8" x14ac:dyDescent="0.25">
      <c r="A74" s="2" t="s">
        <v>138</v>
      </c>
      <c r="G74" s="2">
        <f t="shared" si="4"/>
        <v>0</v>
      </c>
      <c r="H74" s="2" t="str">
        <f t="shared" si="5"/>
        <v>Low</v>
      </c>
    </row>
    <row r="75" spans="1:8" x14ac:dyDescent="0.25">
      <c r="A75" s="2" t="s">
        <v>139</v>
      </c>
      <c r="G75" s="2">
        <f t="shared" si="4"/>
        <v>0</v>
      </c>
      <c r="H75" s="2" t="str">
        <f t="shared" si="5"/>
        <v>Low</v>
      </c>
    </row>
    <row r="76" spans="1:8" x14ac:dyDescent="0.25">
      <c r="A76" s="2" t="s">
        <v>140</v>
      </c>
      <c r="G76" s="2">
        <f t="shared" si="4"/>
        <v>0</v>
      </c>
      <c r="H76" s="2" t="str">
        <f t="shared" si="5"/>
        <v>Low</v>
      </c>
    </row>
    <row r="77" spans="1:8" x14ac:dyDescent="0.25">
      <c r="A77" s="2" t="s">
        <v>141</v>
      </c>
      <c r="G77" s="2">
        <f t="shared" si="4"/>
        <v>0</v>
      </c>
      <c r="H77" s="2" t="str">
        <f t="shared" si="5"/>
        <v>Low</v>
      </c>
    </row>
    <row r="78" spans="1:8" x14ac:dyDescent="0.25">
      <c r="A78" s="2" t="s">
        <v>142</v>
      </c>
      <c r="G78" s="2">
        <f t="shared" si="4"/>
        <v>0</v>
      </c>
      <c r="H78" s="2" t="str">
        <f t="shared" si="5"/>
        <v>Low</v>
      </c>
    </row>
    <row r="79" spans="1:8" x14ac:dyDescent="0.25">
      <c r="A79" s="2" t="s">
        <v>143</v>
      </c>
      <c r="G79" s="2">
        <f t="shared" si="4"/>
        <v>0</v>
      </c>
      <c r="H79" s="2" t="str">
        <f t="shared" si="5"/>
        <v>Low</v>
      </c>
    </row>
    <row r="80" spans="1:8" x14ac:dyDescent="0.25">
      <c r="A80" s="2" t="s">
        <v>144</v>
      </c>
      <c r="G80" s="2">
        <f t="shared" si="4"/>
        <v>0</v>
      </c>
      <c r="H80" s="2" t="str">
        <f t="shared" si="5"/>
        <v>Low</v>
      </c>
    </row>
    <row r="81" spans="1:8" x14ac:dyDescent="0.25">
      <c r="A81" s="2" t="s">
        <v>145</v>
      </c>
      <c r="G81" s="2">
        <f t="shared" si="4"/>
        <v>0</v>
      </c>
      <c r="H81" s="2" t="str">
        <f t="shared" si="5"/>
        <v>Low</v>
      </c>
    </row>
    <row r="82" spans="1:8" x14ac:dyDescent="0.25">
      <c r="A82" s="2" t="s">
        <v>146</v>
      </c>
      <c r="G82" s="2">
        <f t="shared" si="4"/>
        <v>0</v>
      </c>
      <c r="H82" s="2" t="str">
        <f t="shared" si="5"/>
        <v>Low</v>
      </c>
    </row>
    <row r="83" spans="1:8" x14ac:dyDescent="0.25">
      <c r="A83" s="2" t="s">
        <v>147</v>
      </c>
      <c r="G83" s="2">
        <f t="shared" si="4"/>
        <v>0</v>
      </c>
      <c r="H83" s="2" t="str">
        <f t="shared" si="5"/>
        <v>Low</v>
      </c>
    </row>
    <row r="84" spans="1:8" x14ac:dyDescent="0.25">
      <c r="A84" s="2" t="s">
        <v>148</v>
      </c>
      <c r="G84" s="2">
        <f t="shared" si="4"/>
        <v>0</v>
      </c>
      <c r="H84" s="2" t="str">
        <f t="shared" si="5"/>
        <v>Low</v>
      </c>
    </row>
    <row r="85" spans="1:8" x14ac:dyDescent="0.25">
      <c r="A85" s="2" t="s">
        <v>149</v>
      </c>
      <c r="G85" s="2">
        <f t="shared" si="4"/>
        <v>0</v>
      </c>
      <c r="H85" s="2" t="str">
        <f t="shared" si="5"/>
        <v>Low</v>
      </c>
    </row>
    <row r="86" spans="1:8" x14ac:dyDescent="0.25">
      <c r="A86" s="2" t="s">
        <v>150</v>
      </c>
      <c r="G86" s="2">
        <f t="shared" si="4"/>
        <v>0</v>
      </c>
      <c r="H86" s="2" t="str">
        <f t="shared" si="5"/>
        <v>Low</v>
      </c>
    </row>
    <row r="87" spans="1:8" x14ac:dyDescent="0.25">
      <c r="A87" s="2" t="s">
        <v>151</v>
      </c>
      <c r="G87" s="2">
        <f t="shared" si="4"/>
        <v>0</v>
      </c>
      <c r="H87" s="2" t="str">
        <f t="shared" si="5"/>
        <v>Low</v>
      </c>
    </row>
    <row r="88" spans="1:8" x14ac:dyDescent="0.25">
      <c r="A88" s="2" t="s">
        <v>152</v>
      </c>
      <c r="G88" s="2">
        <f t="shared" si="4"/>
        <v>0</v>
      </c>
      <c r="H88" s="2" t="str">
        <f t="shared" si="5"/>
        <v>Low</v>
      </c>
    </row>
    <row r="89" spans="1:8" x14ac:dyDescent="0.25">
      <c r="A89" s="2" t="s">
        <v>153</v>
      </c>
      <c r="G89" s="2">
        <f t="shared" si="4"/>
        <v>0</v>
      </c>
      <c r="H89" s="2" t="str">
        <f t="shared" si="5"/>
        <v>Low</v>
      </c>
    </row>
    <row r="90" spans="1:8" x14ac:dyDescent="0.25">
      <c r="A90" s="2" t="s">
        <v>154</v>
      </c>
      <c r="G90" s="2">
        <f t="shared" si="4"/>
        <v>0</v>
      </c>
      <c r="H90" s="2" t="str">
        <f t="shared" si="5"/>
        <v>Low</v>
      </c>
    </row>
    <row r="91" spans="1:8" x14ac:dyDescent="0.25">
      <c r="A91" s="2" t="s">
        <v>155</v>
      </c>
      <c r="G91" s="2">
        <f t="shared" si="4"/>
        <v>0</v>
      </c>
      <c r="H91" s="2" t="str">
        <f t="shared" si="5"/>
        <v>Low</v>
      </c>
    </row>
    <row r="92" spans="1:8" x14ac:dyDescent="0.25">
      <c r="A92" s="2" t="s">
        <v>156</v>
      </c>
      <c r="G92" s="2">
        <f t="shared" si="4"/>
        <v>0</v>
      </c>
      <c r="H92" s="2" t="str">
        <f t="shared" si="5"/>
        <v>Low</v>
      </c>
    </row>
    <row r="93" spans="1:8" x14ac:dyDescent="0.25">
      <c r="A93" s="2" t="s">
        <v>157</v>
      </c>
      <c r="G93" s="2">
        <f t="shared" si="4"/>
        <v>0</v>
      </c>
      <c r="H93" s="2" t="str">
        <f t="shared" si="5"/>
        <v>Low</v>
      </c>
    </row>
    <row r="94" spans="1:8" x14ac:dyDescent="0.25">
      <c r="A94" s="2" t="s">
        <v>158</v>
      </c>
      <c r="G94" s="2">
        <f t="shared" si="4"/>
        <v>0</v>
      </c>
      <c r="H94" s="2" t="str">
        <f t="shared" si="5"/>
        <v>Low</v>
      </c>
    </row>
    <row r="95" spans="1:8" x14ac:dyDescent="0.25">
      <c r="A95" s="2" t="s">
        <v>159</v>
      </c>
      <c r="G95" s="2">
        <f t="shared" si="4"/>
        <v>0</v>
      </c>
      <c r="H95" s="2" t="str">
        <f t="shared" si="5"/>
        <v>Low</v>
      </c>
    </row>
    <row r="96" spans="1:8" x14ac:dyDescent="0.25">
      <c r="A96" s="2" t="s">
        <v>160</v>
      </c>
      <c r="G96" s="2">
        <f t="shared" si="4"/>
        <v>0</v>
      </c>
      <c r="H96" s="2" t="str">
        <f t="shared" si="5"/>
        <v>Low</v>
      </c>
    </row>
    <row r="97" spans="1:8" x14ac:dyDescent="0.25">
      <c r="A97" s="2" t="s">
        <v>161</v>
      </c>
      <c r="G97" s="2">
        <f t="shared" si="4"/>
        <v>0</v>
      </c>
      <c r="H97" s="2" t="str">
        <f t="shared" si="5"/>
        <v>Low</v>
      </c>
    </row>
    <row r="98" spans="1:8" x14ac:dyDescent="0.25">
      <c r="A98" s="2" t="s">
        <v>162</v>
      </c>
      <c r="G98" s="2">
        <f t="shared" si="4"/>
        <v>0</v>
      </c>
      <c r="H98" s="2" t="str">
        <f t="shared" si="5"/>
        <v>Low</v>
      </c>
    </row>
    <row r="99" spans="1:8" x14ac:dyDescent="0.25">
      <c r="A99" s="2" t="s">
        <v>163</v>
      </c>
      <c r="G99" s="2">
        <f t="shared" si="4"/>
        <v>0</v>
      </c>
      <c r="H99" s="2" t="str">
        <f t="shared" si="5"/>
        <v>Low</v>
      </c>
    </row>
    <row r="100" spans="1:8" x14ac:dyDescent="0.25">
      <c r="A100" s="2" t="s">
        <v>164</v>
      </c>
      <c r="G100" s="2">
        <f t="shared" si="4"/>
        <v>0</v>
      </c>
      <c r="H100" s="2" t="str">
        <f t="shared" si="5"/>
        <v>Low</v>
      </c>
    </row>
    <row r="101" spans="1:8" x14ac:dyDescent="0.25">
      <c r="A101" s="2" t="s">
        <v>165</v>
      </c>
      <c r="G101" s="2">
        <f t="shared" si="4"/>
        <v>0</v>
      </c>
      <c r="H101" s="2" t="str">
        <f t="shared" si="5"/>
        <v>Low</v>
      </c>
    </row>
    <row r="102" spans="1:8" x14ac:dyDescent="0.25">
      <c r="A102" s="2" t="s">
        <v>166</v>
      </c>
      <c r="G102" s="2">
        <f t="shared" ref="G102:G133" si="6">E102*F102</f>
        <v>0</v>
      </c>
      <c r="H102" s="2" t="str">
        <f t="shared" ref="H102:H133" si="7">IF(G102&lt;=7,"Low",IF(G102&lt;=14,"Medium","High"))</f>
        <v>Low</v>
      </c>
    </row>
    <row r="103" spans="1:8" x14ac:dyDescent="0.25">
      <c r="A103" s="2" t="s">
        <v>167</v>
      </c>
      <c r="G103" s="2">
        <f t="shared" si="6"/>
        <v>0</v>
      </c>
      <c r="H103" s="2" t="str">
        <f t="shared" si="7"/>
        <v>Low</v>
      </c>
    </row>
    <row r="104" spans="1:8" x14ac:dyDescent="0.25">
      <c r="A104" s="2" t="s">
        <v>168</v>
      </c>
      <c r="G104" s="2">
        <f t="shared" si="6"/>
        <v>0</v>
      </c>
      <c r="H104" s="2" t="str">
        <f t="shared" si="7"/>
        <v>Low</v>
      </c>
    </row>
    <row r="105" spans="1:8" x14ac:dyDescent="0.25">
      <c r="A105" s="2" t="s">
        <v>169</v>
      </c>
      <c r="G105" s="2">
        <f t="shared" si="6"/>
        <v>0</v>
      </c>
      <c r="H105" s="2" t="str">
        <f t="shared" si="7"/>
        <v>Low</v>
      </c>
    </row>
    <row r="106" spans="1:8" x14ac:dyDescent="0.25">
      <c r="A106" s="2" t="s">
        <v>170</v>
      </c>
      <c r="G106" s="2">
        <f t="shared" si="6"/>
        <v>0</v>
      </c>
      <c r="H106" s="2" t="str">
        <f t="shared" si="7"/>
        <v>Low</v>
      </c>
    </row>
    <row r="107" spans="1:8" x14ac:dyDescent="0.25">
      <c r="A107" s="2" t="s">
        <v>171</v>
      </c>
      <c r="G107" s="2">
        <f t="shared" si="6"/>
        <v>0</v>
      </c>
      <c r="H107" s="2" t="str">
        <f t="shared" si="7"/>
        <v>Low</v>
      </c>
    </row>
    <row r="108" spans="1:8" x14ac:dyDescent="0.25">
      <c r="A108" s="2" t="s">
        <v>172</v>
      </c>
      <c r="G108" s="2">
        <f t="shared" si="6"/>
        <v>0</v>
      </c>
      <c r="H108" s="2" t="str">
        <f t="shared" si="7"/>
        <v>Low</v>
      </c>
    </row>
    <row r="109" spans="1:8" x14ac:dyDescent="0.25">
      <c r="A109" s="2" t="s">
        <v>173</v>
      </c>
      <c r="G109" s="2">
        <f t="shared" si="6"/>
        <v>0</v>
      </c>
      <c r="H109" s="2" t="str">
        <f t="shared" si="7"/>
        <v>Low</v>
      </c>
    </row>
    <row r="110" spans="1:8" x14ac:dyDescent="0.25">
      <c r="A110" s="2" t="s">
        <v>174</v>
      </c>
      <c r="G110" s="2">
        <f t="shared" si="6"/>
        <v>0</v>
      </c>
      <c r="H110" s="2" t="str">
        <f t="shared" si="7"/>
        <v>Low</v>
      </c>
    </row>
    <row r="111" spans="1:8" x14ac:dyDescent="0.25">
      <c r="A111" s="2" t="s">
        <v>175</v>
      </c>
      <c r="G111" s="2">
        <f t="shared" si="6"/>
        <v>0</v>
      </c>
      <c r="H111" s="2" t="str">
        <f t="shared" si="7"/>
        <v>Low</v>
      </c>
    </row>
    <row r="112" spans="1:8" x14ac:dyDescent="0.25">
      <c r="A112" s="2" t="s">
        <v>176</v>
      </c>
      <c r="G112" s="2">
        <f t="shared" si="6"/>
        <v>0</v>
      </c>
      <c r="H112" s="2" t="str">
        <f t="shared" si="7"/>
        <v>Low</v>
      </c>
    </row>
    <row r="113" spans="1:8" x14ac:dyDescent="0.25">
      <c r="A113" s="2" t="s">
        <v>177</v>
      </c>
      <c r="G113" s="2">
        <f t="shared" si="6"/>
        <v>0</v>
      </c>
      <c r="H113" s="2" t="str">
        <f t="shared" si="7"/>
        <v>Low</v>
      </c>
    </row>
    <row r="114" spans="1:8" x14ac:dyDescent="0.25">
      <c r="A114" s="2" t="s">
        <v>178</v>
      </c>
      <c r="G114" s="2">
        <f t="shared" si="6"/>
        <v>0</v>
      </c>
      <c r="H114" s="2" t="str">
        <f t="shared" si="7"/>
        <v>Low</v>
      </c>
    </row>
    <row r="115" spans="1:8" x14ac:dyDescent="0.25">
      <c r="A115" s="2" t="s">
        <v>179</v>
      </c>
      <c r="G115" s="2">
        <f t="shared" si="6"/>
        <v>0</v>
      </c>
      <c r="H115" s="2" t="str">
        <f t="shared" si="7"/>
        <v>Low</v>
      </c>
    </row>
    <row r="116" spans="1:8" x14ac:dyDescent="0.25">
      <c r="A116" s="2" t="s">
        <v>180</v>
      </c>
      <c r="G116" s="2">
        <f t="shared" si="6"/>
        <v>0</v>
      </c>
      <c r="H116" s="2" t="str">
        <f t="shared" si="7"/>
        <v>Low</v>
      </c>
    </row>
    <row r="117" spans="1:8" x14ac:dyDescent="0.25">
      <c r="A117" s="2" t="s">
        <v>181</v>
      </c>
      <c r="G117" s="2">
        <f t="shared" si="6"/>
        <v>0</v>
      </c>
      <c r="H117" s="2" t="str">
        <f t="shared" si="7"/>
        <v>Low</v>
      </c>
    </row>
    <row r="118" spans="1:8" x14ac:dyDescent="0.25">
      <c r="A118" s="2" t="s">
        <v>182</v>
      </c>
      <c r="G118" s="2">
        <f t="shared" si="6"/>
        <v>0</v>
      </c>
      <c r="H118" s="2" t="str">
        <f t="shared" si="7"/>
        <v>Low</v>
      </c>
    </row>
    <row r="119" spans="1:8" x14ac:dyDescent="0.25">
      <c r="A119" s="2" t="s">
        <v>183</v>
      </c>
      <c r="G119" s="2">
        <f t="shared" si="6"/>
        <v>0</v>
      </c>
      <c r="H119" s="2" t="str">
        <f t="shared" si="7"/>
        <v>Low</v>
      </c>
    </row>
    <row r="120" spans="1:8" x14ac:dyDescent="0.25">
      <c r="A120" s="2" t="s">
        <v>184</v>
      </c>
      <c r="G120" s="2">
        <f t="shared" si="6"/>
        <v>0</v>
      </c>
      <c r="H120" s="2" t="str">
        <f t="shared" si="7"/>
        <v>Low</v>
      </c>
    </row>
    <row r="121" spans="1:8" x14ac:dyDescent="0.25">
      <c r="A121" s="2" t="s">
        <v>185</v>
      </c>
      <c r="G121" s="2">
        <f t="shared" si="6"/>
        <v>0</v>
      </c>
      <c r="H121" s="2" t="str">
        <f t="shared" si="7"/>
        <v>Low</v>
      </c>
    </row>
    <row r="122" spans="1:8" x14ac:dyDescent="0.25">
      <c r="A122" s="2" t="s">
        <v>186</v>
      </c>
      <c r="G122" s="2">
        <f t="shared" si="6"/>
        <v>0</v>
      </c>
      <c r="H122" s="2" t="str">
        <f t="shared" si="7"/>
        <v>Low</v>
      </c>
    </row>
    <row r="123" spans="1:8" x14ac:dyDescent="0.25">
      <c r="A123" s="2" t="s">
        <v>187</v>
      </c>
      <c r="G123" s="2">
        <f t="shared" si="6"/>
        <v>0</v>
      </c>
      <c r="H123" s="2" t="str">
        <f t="shared" si="7"/>
        <v>Low</v>
      </c>
    </row>
    <row r="124" spans="1:8" x14ac:dyDescent="0.25">
      <c r="A124" s="2" t="s">
        <v>188</v>
      </c>
      <c r="G124" s="2">
        <f t="shared" si="6"/>
        <v>0</v>
      </c>
      <c r="H124" s="2" t="str">
        <f t="shared" si="7"/>
        <v>Low</v>
      </c>
    </row>
    <row r="125" spans="1:8" x14ac:dyDescent="0.25">
      <c r="A125" s="2" t="s">
        <v>189</v>
      </c>
      <c r="G125" s="2">
        <f t="shared" si="6"/>
        <v>0</v>
      </c>
      <c r="H125" s="2" t="str">
        <f t="shared" si="7"/>
        <v>Low</v>
      </c>
    </row>
    <row r="126" spans="1:8" x14ac:dyDescent="0.25">
      <c r="A126" s="2" t="s">
        <v>190</v>
      </c>
      <c r="G126" s="2">
        <f t="shared" si="6"/>
        <v>0</v>
      </c>
      <c r="H126" s="2" t="str">
        <f t="shared" si="7"/>
        <v>Low</v>
      </c>
    </row>
    <row r="127" spans="1:8" x14ac:dyDescent="0.25">
      <c r="A127" s="2" t="s">
        <v>191</v>
      </c>
      <c r="G127" s="2">
        <f t="shared" si="6"/>
        <v>0</v>
      </c>
      <c r="H127" s="2" t="str">
        <f t="shared" si="7"/>
        <v>Low</v>
      </c>
    </row>
    <row r="128" spans="1:8" x14ac:dyDescent="0.25">
      <c r="A128" s="2" t="s">
        <v>192</v>
      </c>
      <c r="G128" s="2">
        <f t="shared" si="6"/>
        <v>0</v>
      </c>
      <c r="H128" s="2" t="str">
        <f t="shared" si="7"/>
        <v>Low</v>
      </c>
    </row>
    <row r="129" spans="1:8" x14ac:dyDescent="0.25">
      <c r="A129" s="2" t="s">
        <v>193</v>
      </c>
      <c r="G129" s="2">
        <f t="shared" si="6"/>
        <v>0</v>
      </c>
      <c r="H129" s="2" t="str">
        <f t="shared" si="7"/>
        <v>Low</v>
      </c>
    </row>
    <row r="130" spans="1:8" x14ac:dyDescent="0.25">
      <c r="A130" s="2" t="s">
        <v>194</v>
      </c>
      <c r="G130" s="2">
        <f t="shared" si="6"/>
        <v>0</v>
      </c>
      <c r="H130" s="2" t="str">
        <f t="shared" si="7"/>
        <v>Low</v>
      </c>
    </row>
    <row r="131" spans="1:8" x14ac:dyDescent="0.25">
      <c r="A131" s="2" t="s">
        <v>195</v>
      </c>
      <c r="G131" s="2">
        <f t="shared" si="6"/>
        <v>0</v>
      </c>
      <c r="H131" s="2" t="str">
        <f t="shared" si="7"/>
        <v>Low</v>
      </c>
    </row>
    <row r="132" spans="1:8" x14ac:dyDescent="0.25">
      <c r="A132" s="2" t="s">
        <v>196</v>
      </c>
      <c r="G132" s="2">
        <f t="shared" si="6"/>
        <v>0</v>
      </c>
      <c r="H132" s="2" t="str">
        <f t="shared" si="7"/>
        <v>Low</v>
      </c>
    </row>
    <row r="133" spans="1:8" x14ac:dyDescent="0.25">
      <c r="A133" s="2" t="s">
        <v>197</v>
      </c>
      <c r="G133" s="2">
        <f t="shared" si="6"/>
        <v>0</v>
      </c>
      <c r="H133" s="2" t="str">
        <f t="shared" si="7"/>
        <v>Low</v>
      </c>
    </row>
    <row r="134" spans="1:8" x14ac:dyDescent="0.25">
      <c r="A134" s="2" t="s">
        <v>198</v>
      </c>
      <c r="G134" s="2">
        <f t="shared" ref="G134:G165" si="8">E134*F134</f>
        <v>0</v>
      </c>
      <c r="H134" s="2" t="str">
        <f t="shared" ref="H134:H165" si="9">IF(G134&lt;=7,"Low",IF(G134&lt;=14,"Medium","High"))</f>
        <v>Low</v>
      </c>
    </row>
    <row r="135" spans="1:8" x14ac:dyDescent="0.25">
      <c r="A135" s="2" t="s">
        <v>199</v>
      </c>
      <c r="G135" s="2">
        <f t="shared" si="8"/>
        <v>0</v>
      </c>
      <c r="H135" s="2" t="str">
        <f t="shared" si="9"/>
        <v>Low</v>
      </c>
    </row>
    <row r="136" spans="1:8" x14ac:dyDescent="0.25">
      <c r="A136" s="2" t="s">
        <v>200</v>
      </c>
      <c r="G136" s="2">
        <f t="shared" si="8"/>
        <v>0</v>
      </c>
      <c r="H136" s="2" t="str">
        <f t="shared" si="9"/>
        <v>Low</v>
      </c>
    </row>
    <row r="137" spans="1:8" x14ac:dyDescent="0.25">
      <c r="A137" s="2" t="s">
        <v>201</v>
      </c>
      <c r="G137" s="2">
        <f t="shared" si="8"/>
        <v>0</v>
      </c>
      <c r="H137" s="2" t="str">
        <f t="shared" si="9"/>
        <v>Low</v>
      </c>
    </row>
    <row r="138" spans="1:8" x14ac:dyDescent="0.25">
      <c r="A138" s="2" t="s">
        <v>202</v>
      </c>
      <c r="G138" s="2">
        <f t="shared" si="8"/>
        <v>0</v>
      </c>
      <c r="H138" s="2" t="str">
        <f t="shared" si="9"/>
        <v>Low</v>
      </c>
    </row>
    <row r="139" spans="1:8" x14ac:dyDescent="0.25">
      <c r="A139" s="2" t="s">
        <v>203</v>
      </c>
      <c r="G139" s="2">
        <f t="shared" si="8"/>
        <v>0</v>
      </c>
      <c r="H139" s="2" t="str">
        <f t="shared" si="9"/>
        <v>Low</v>
      </c>
    </row>
    <row r="140" spans="1:8" x14ac:dyDescent="0.25">
      <c r="A140" s="2" t="s">
        <v>204</v>
      </c>
      <c r="G140" s="2">
        <f t="shared" si="8"/>
        <v>0</v>
      </c>
      <c r="H140" s="2" t="str">
        <f t="shared" si="9"/>
        <v>Low</v>
      </c>
    </row>
    <row r="141" spans="1:8" x14ac:dyDescent="0.25">
      <c r="A141" s="2" t="s">
        <v>205</v>
      </c>
      <c r="G141" s="2">
        <f t="shared" si="8"/>
        <v>0</v>
      </c>
      <c r="H141" s="2" t="str">
        <f t="shared" si="9"/>
        <v>Low</v>
      </c>
    </row>
    <row r="142" spans="1:8" x14ac:dyDescent="0.25">
      <c r="A142" s="2" t="s">
        <v>206</v>
      </c>
      <c r="G142" s="2">
        <f t="shared" si="8"/>
        <v>0</v>
      </c>
      <c r="H142" s="2" t="str">
        <f t="shared" si="9"/>
        <v>Low</v>
      </c>
    </row>
    <row r="143" spans="1:8" x14ac:dyDescent="0.25">
      <c r="A143" s="2" t="s">
        <v>207</v>
      </c>
      <c r="G143" s="2">
        <f t="shared" si="8"/>
        <v>0</v>
      </c>
      <c r="H143" s="2" t="str">
        <f t="shared" si="9"/>
        <v>Low</v>
      </c>
    </row>
    <row r="144" spans="1:8" x14ac:dyDescent="0.25">
      <c r="A144" s="2" t="s">
        <v>208</v>
      </c>
      <c r="G144" s="2">
        <f t="shared" si="8"/>
        <v>0</v>
      </c>
      <c r="H144" s="2" t="str">
        <f t="shared" si="9"/>
        <v>Low</v>
      </c>
    </row>
    <row r="145" spans="1:8" x14ac:dyDescent="0.25">
      <c r="A145" s="2" t="s">
        <v>209</v>
      </c>
      <c r="G145" s="2">
        <f t="shared" si="8"/>
        <v>0</v>
      </c>
      <c r="H145" s="2" t="str">
        <f t="shared" si="9"/>
        <v>Low</v>
      </c>
    </row>
    <row r="146" spans="1:8" x14ac:dyDescent="0.25">
      <c r="A146" s="2" t="s">
        <v>210</v>
      </c>
      <c r="G146" s="2">
        <f t="shared" si="8"/>
        <v>0</v>
      </c>
      <c r="H146" s="2" t="str">
        <f t="shared" si="9"/>
        <v>Low</v>
      </c>
    </row>
    <row r="147" spans="1:8" x14ac:dyDescent="0.25">
      <c r="A147" s="2" t="s">
        <v>211</v>
      </c>
      <c r="G147" s="2">
        <f t="shared" si="8"/>
        <v>0</v>
      </c>
      <c r="H147" s="2" t="str">
        <f t="shared" si="9"/>
        <v>Low</v>
      </c>
    </row>
    <row r="148" spans="1:8" x14ac:dyDescent="0.25">
      <c r="A148" s="2" t="s">
        <v>212</v>
      </c>
      <c r="G148" s="2">
        <f t="shared" si="8"/>
        <v>0</v>
      </c>
      <c r="H148" s="2" t="str">
        <f t="shared" si="9"/>
        <v>Low</v>
      </c>
    </row>
    <row r="149" spans="1:8" x14ac:dyDescent="0.25">
      <c r="A149" s="2" t="s">
        <v>213</v>
      </c>
      <c r="G149" s="2">
        <f t="shared" si="8"/>
        <v>0</v>
      </c>
      <c r="H149" s="2" t="str">
        <f t="shared" si="9"/>
        <v>Low</v>
      </c>
    </row>
    <row r="150" spans="1:8" x14ac:dyDescent="0.25">
      <c r="A150" s="2" t="s">
        <v>214</v>
      </c>
      <c r="G150" s="2">
        <f t="shared" si="8"/>
        <v>0</v>
      </c>
      <c r="H150" s="2" t="str">
        <f t="shared" si="9"/>
        <v>Low</v>
      </c>
    </row>
    <row r="151" spans="1:8" x14ac:dyDescent="0.25">
      <c r="A151" s="2" t="s">
        <v>215</v>
      </c>
      <c r="G151" s="2">
        <f t="shared" si="8"/>
        <v>0</v>
      </c>
      <c r="H151" s="2" t="str">
        <f t="shared" si="9"/>
        <v>Low</v>
      </c>
    </row>
    <row r="152" spans="1:8" x14ac:dyDescent="0.25">
      <c r="A152" s="2" t="s">
        <v>216</v>
      </c>
      <c r="G152" s="2">
        <f t="shared" si="8"/>
        <v>0</v>
      </c>
      <c r="H152" s="2" t="str">
        <f t="shared" si="9"/>
        <v>Low</v>
      </c>
    </row>
    <row r="153" spans="1:8" x14ac:dyDescent="0.25">
      <c r="A153" s="2" t="s">
        <v>217</v>
      </c>
      <c r="G153" s="2">
        <f t="shared" si="8"/>
        <v>0</v>
      </c>
      <c r="H153" s="2" t="str">
        <f t="shared" si="9"/>
        <v>Low</v>
      </c>
    </row>
    <row r="154" spans="1:8" x14ac:dyDescent="0.25">
      <c r="A154" s="2" t="s">
        <v>218</v>
      </c>
      <c r="G154" s="2">
        <f t="shared" si="8"/>
        <v>0</v>
      </c>
      <c r="H154" s="2" t="str">
        <f t="shared" si="9"/>
        <v>Low</v>
      </c>
    </row>
    <row r="155" spans="1:8" x14ac:dyDescent="0.25">
      <c r="A155" s="2" t="s">
        <v>219</v>
      </c>
      <c r="G155" s="2">
        <f t="shared" si="8"/>
        <v>0</v>
      </c>
      <c r="H155" s="2" t="str">
        <f t="shared" si="9"/>
        <v>Low</v>
      </c>
    </row>
    <row r="156" spans="1:8" x14ac:dyDescent="0.25">
      <c r="A156" s="2" t="s">
        <v>220</v>
      </c>
      <c r="G156" s="2">
        <f t="shared" si="8"/>
        <v>0</v>
      </c>
      <c r="H156" s="2" t="str">
        <f t="shared" si="9"/>
        <v>Low</v>
      </c>
    </row>
    <row r="157" spans="1:8" x14ac:dyDescent="0.25">
      <c r="A157" s="2" t="s">
        <v>221</v>
      </c>
      <c r="G157" s="2">
        <f t="shared" si="8"/>
        <v>0</v>
      </c>
      <c r="H157" s="2" t="str">
        <f t="shared" si="9"/>
        <v>Low</v>
      </c>
    </row>
    <row r="158" spans="1:8" x14ac:dyDescent="0.25">
      <c r="A158" s="2" t="s">
        <v>222</v>
      </c>
      <c r="G158" s="2">
        <f t="shared" si="8"/>
        <v>0</v>
      </c>
      <c r="H158" s="2" t="str">
        <f t="shared" si="9"/>
        <v>Low</v>
      </c>
    </row>
    <row r="159" spans="1:8" x14ac:dyDescent="0.25">
      <c r="A159" s="2" t="s">
        <v>223</v>
      </c>
      <c r="G159" s="2">
        <f t="shared" si="8"/>
        <v>0</v>
      </c>
      <c r="H159" s="2" t="str">
        <f t="shared" si="9"/>
        <v>Low</v>
      </c>
    </row>
    <row r="160" spans="1:8" x14ac:dyDescent="0.25">
      <c r="A160" s="2" t="s">
        <v>224</v>
      </c>
      <c r="G160" s="2">
        <f t="shared" si="8"/>
        <v>0</v>
      </c>
      <c r="H160" s="2" t="str">
        <f t="shared" si="9"/>
        <v>Low</v>
      </c>
    </row>
    <row r="161" spans="1:8" x14ac:dyDescent="0.25">
      <c r="A161" s="2" t="s">
        <v>225</v>
      </c>
      <c r="G161" s="2">
        <f t="shared" si="8"/>
        <v>0</v>
      </c>
      <c r="H161" s="2" t="str">
        <f t="shared" si="9"/>
        <v>Low</v>
      </c>
    </row>
    <row r="162" spans="1:8" x14ac:dyDescent="0.25">
      <c r="A162" s="2" t="s">
        <v>226</v>
      </c>
      <c r="G162" s="2">
        <f t="shared" si="8"/>
        <v>0</v>
      </c>
      <c r="H162" s="2" t="str">
        <f t="shared" si="9"/>
        <v>Low</v>
      </c>
    </row>
    <row r="163" spans="1:8" x14ac:dyDescent="0.25">
      <c r="A163" s="2" t="s">
        <v>227</v>
      </c>
      <c r="G163" s="2">
        <f t="shared" si="8"/>
        <v>0</v>
      </c>
      <c r="H163" s="2" t="str">
        <f t="shared" si="9"/>
        <v>Low</v>
      </c>
    </row>
    <row r="164" spans="1:8" x14ac:dyDescent="0.25">
      <c r="A164" s="2" t="s">
        <v>228</v>
      </c>
      <c r="G164" s="2">
        <f t="shared" si="8"/>
        <v>0</v>
      </c>
      <c r="H164" s="2" t="str">
        <f t="shared" si="9"/>
        <v>Low</v>
      </c>
    </row>
    <row r="165" spans="1:8" x14ac:dyDescent="0.25">
      <c r="A165" s="2" t="s">
        <v>229</v>
      </c>
      <c r="G165" s="2">
        <f t="shared" si="8"/>
        <v>0</v>
      </c>
      <c r="H165" s="2" t="str">
        <f t="shared" si="9"/>
        <v>Low</v>
      </c>
    </row>
    <row r="166" spans="1:8" x14ac:dyDescent="0.25">
      <c r="A166" s="2" t="s">
        <v>230</v>
      </c>
      <c r="G166" s="2">
        <f t="shared" ref="G166:G197" si="10">E166*F166</f>
        <v>0</v>
      </c>
      <c r="H166" s="2" t="str">
        <f t="shared" ref="H166:H197" si="11">IF(G166&lt;=7,"Low",IF(G166&lt;=14,"Medium","High"))</f>
        <v>Low</v>
      </c>
    </row>
    <row r="167" spans="1:8" x14ac:dyDescent="0.25">
      <c r="A167" s="2" t="s">
        <v>231</v>
      </c>
      <c r="G167" s="2">
        <f t="shared" si="10"/>
        <v>0</v>
      </c>
      <c r="H167" s="2" t="str">
        <f t="shared" si="11"/>
        <v>Low</v>
      </c>
    </row>
    <row r="168" spans="1:8" x14ac:dyDescent="0.25">
      <c r="A168" s="2" t="s">
        <v>232</v>
      </c>
      <c r="G168" s="2">
        <f t="shared" si="10"/>
        <v>0</v>
      </c>
      <c r="H168" s="2" t="str">
        <f t="shared" si="11"/>
        <v>Low</v>
      </c>
    </row>
    <row r="169" spans="1:8" x14ac:dyDescent="0.25">
      <c r="A169" s="2" t="s">
        <v>233</v>
      </c>
      <c r="G169" s="2">
        <f t="shared" si="10"/>
        <v>0</v>
      </c>
      <c r="H169" s="2" t="str">
        <f t="shared" si="11"/>
        <v>Low</v>
      </c>
    </row>
    <row r="170" spans="1:8" x14ac:dyDescent="0.25">
      <c r="A170" s="2" t="s">
        <v>234</v>
      </c>
      <c r="G170" s="2">
        <f t="shared" si="10"/>
        <v>0</v>
      </c>
      <c r="H170" s="2" t="str">
        <f t="shared" si="11"/>
        <v>Low</v>
      </c>
    </row>
    <row r="171" spans="1:8" x14ac:dyDescent="0.25">
      <c r="A171" s="2" t="s">
        <v>235</v>
      </c>
      <c r="G171" s="2">
        <f t="shared" si="10"/>
        <v>0</v>
      </c>
      <c r="H171" s="2" t="str">
        <f t="shared" si="11"/>
        <v>Low</v>
      </c>
    </row>
    <row r="172" spans="1:8" x14ac:dyDescent="0.25">
      <c r="A172" s="2" t="s">
        <v>236</v>
      </c>
      <c r="G172" s="2">
        <f t="shared" si="10"/>
        <v>0</v>
      </c>
      <c r="H172" s="2" t="str">
        <f t="shared" si="11"/>
        <v>Low</v>
      </c>
    </row>
    <row r="173" spans="1:8" x14ac:dyDescent="0.25">
      <c r="A173" s="2" t="s">
        <v>237</v>
      </c>
      <c r="G173" s="2">
        <f t="shared" si="10"/>
        <v>0</v>
      </c>
      <c r="H173" s="2" t="str">
        <f t="shared" si="11"/>
        <v>Low</v>
      </c>
    </row>
    <row r="174" spans="1:8" x14ac:dyDescent="0.25">
      <c r="A174" s="2" t="s">
        <v>238</v>
      </c>
      <c r="G174" s="2">
        <f t="shared" si="10"/>
        <v>0</v>
      </c>
      <c r="H174" s="2" t="str">
        <f t="shared" si="11"/>
        <v>Low</v>
      </c>
    </row>
    <row r="175" spans="1:8" x14ac:dyDescent="0.25">
      <c r="A175" s="2" t="s">
        <v>239</v>
      </c>
      <c r="G175" s="2">
        <f t="shared" si="10"/>
        <v>0</v>
      </c>
      <c r="H175" s="2" t="str">
        <f t="shared" si="11"/>
        <v>Low</v>
      </c>
    </row>
    <row r="176" spans="1:8" x14ac:dyDescent="0.25">
      <c r="A176" s="2" t="s">
        <v>240</v>
      </c>
      <c r="G176" s="2">
        <f t="shared" si="10"/>
        <v>0</v>
      </c>
      <c r="H176" s="2" t="str">
        <f t="shared" si="11"/>
        <v>Low</v>
      </c>
    </row>
    <row r="177" spans="1:8" x14ac:dyDescent="0.25">
      <c r="A177" s="2" t="s">
        <v>241</v>
      </c>
      <c r="G177" s="2">
        <f t="shared" si="10"/>
        <v>0</v>
      </c>
      <c r="H177" s="2" t="str">
        <f t="shared" si="11"/>
        <v>Low</v>
      </c>
    </row>
    <row r="178" spans="1:8" x14ac:dyDescent="0.25">
      <c r="A178" s="2" t="s">
        <v>242</v>
      </c>
      <c r="G178" s="2">
        <f t="shared" si="10"/>
        <v>0</v>
      </c>
      <c r="H178" s="2" t="str">
        <f t="shared" si="11"/>
        <v>Low</v>
      </c>
    </row>
    <row r="179" spans="1:8" x14ac:dyDescent="0.25">
      <c r="A179" s="2" t="s">
        <v>243</v>
      </c>
      <c r="G179" s="2">
        <f t="shared" si="10"/>
        <v>0</v>
      </c>
      <c r="H179" s="2" t="str">
        <f t="shared" si="11"/>
        <v>Low</v>
      </c>
    </row>
    <row r="180" spans="1:8" x14ac:dyDescent="0.25">
      <c r="A180" s="2" t="s">
        <v>244</v>
      </c>
      <c r="G180" s="2">
        <f t="shared" si="10"/>
        <v>0</v>
      </c>
      <c r="H180" s="2" t="str">
        <f t="shared" si="11"/>
        <v>Low</v>
      </c>
    </row>
    <row r="181" spans="1:8" x14ac:dyDescent="0.25">
      <c r="A181" s="2" t="s">
        <v>245</v>
      </c>
      <c r="G181" s="2">
        <f t="shared" si="10"/>
        <v>0</v>
      </c>
      <c r="H181" s="2" t="str">
        <f t="shared" si="11"/>
        <v>Low</v>
      </c>
    </row>
    <row r="182" spans="1:8" x14ac:dyDescent="0.25">
      <c r="A182" s="2" t="s">
        <v>246</v>
      </c>
      <c r="G182" s="2">
        <f t="shared" si="10"/>
        <v>0</v>
      </c>
      <c r="H182" s="2" t="str">
        <f t="shared" si="11"/>
        <v>Low</v>
      </c>
    </row>
    <row r="183" spans="1:8" x14ac:dyDescent="0.25">
      <c r="A183" s="2" t="s">
        <v>247</v>
      </c>
      <c r="G183" s="2">
        <f t="shared" si="10"/>
        <v>0</v>
      </c>
      <c r="H183" s="2" t="str">
        <f t="shared" si="11"/>
        <v>Low</v>
      </c>
    </row>
    <row r="184" spans="1:8" x14ac:dyDescent="0.25">
      <c r="A184" s="2" t="s">
        <v>248</v>
      </c>
      <c r="G184" s="2">
        <f t="shared" si="10"/>
        <v>0</v>
      </c>
      <c r="H184" s="2" t="str">
        <f t="shared" si="11"/>
        <v>Low</v>
      </c>
    </row>
    <row r="185" spans="1:8" x14ac:dyDescent="0.25">
      <c r="A185" s="2" t="s">
        <v>249</v>
      </c>
      <c r="G185" s="2">
        <f t="shared" si="10"/>
        <v>0</v>
      </c>
      <c r="H185" s="2" t="str">
        <f t="shared" si="11"/>
        <v>Low</v>
      </c>
    </row>
    <row r="186" spans="1:8" x14ac:dyDescent="0.25">
      <c r="A186" s="2" t="s">
        <v>250</v>
      </c>
      <c r="G186" s="2">
        <f t="shared" si="10"/>
        <v>0</v>
      </c>
      <c r="H186" s="2" t="str">
        <f t="shared" si="11"/>
        <v>Low</v>
      </c>
    </row>
    <row r="187" spans="1:8" x14ac:dyDescent="0.25">
      <c r="A187" s="2" t="s">
        <v>251</v>
      </c>
      <c r="G187" s="2">
        <f t="shared" si="10"/>
        <v>0</v>
      </c>
      <c r="H187" s="2" t="str">
        <f t="shared" si="11"/>
        <v>Low</v>
      </c>
    </row>
    <row r="188" spans="1:8" x14ac:dyDescent="0.25">
      <c r="A188" s="2" t="s">
        <v>252</v>
      </c>
      <c r="G188" s="2">
        <f t="shared" si="10"/>
        <v>0</v>
      </c>
      <c r="H188" s="2" t="str">
        <f t="shared" si="11"/>
        <v>Low</v>
      </c>
    </row>
    <row r="189" spans="1:8" x14ac:dyDescent="0.25">
      <c r="A189" s="2" t="s">
        <v>253</v>
      </c>
      <c r="G189" s="2">
        <f t="shared" si="10"/>
        <v>0</v>
      </c>
      <c r="H189" s="2" t="str">
        <f t="shared" si="11"/>
        <v>Low</v>
      </c>
    </row>
    <row r="190" spans="1:8" x14ac:dyDescent="0.25">
      <c r="A190" s="2" t="s">
        <v>254</v>
      </c>
      <c r="G190" s="2">
        <f t="shared" si="10"/>
        <v>0</v>
      </c>
      <c r="H190" s="2" t="str">
        <f t="shared" si="11"/>
        <v>Low</v>
      </c>
    </row>
    <row r="191" spans="1:8" x14ac:dyDescent="0.25">
      <c r="A191" s="2" t="s">
        <v>255</v>
      </c>
      <c r="G191" s="2">
        <f t="shared" si="10"/>
        <v>0</v>
      </c>
      <c r="H191" s="2" t="str">
        <f t="shared" si="11"/>
        <v>Low</v>
      </c>
    </row>
    <row r="192" spans="1:8" x14ac:dyDescent="0.25">
      <c r="A192" s="2" t="s">
        <v>256</v>
      </c>
      <c r="G192" s="2">
        <f t="shared" si="10"/>
        <v>0</v>
      </c>
      <c r="H192" s="2" t="str">
        <f t="shared" si="11"/>
        <v>Low</v>
      </c>
    </row>
    <row r="193" spans="1:8" x14ac:dyDescent="0.25">
      <c r="A193" s="2" t="s">
        <v>257</v>
      </c>
      <c r="G193" s="2">
        <f t="shared" si="10"/>
        <v>0</v>
      </c>
      <c r="H193" s="2" t="str">
        <f t="shared" si="11"/>
        <v>Low</v>
      </c>
    </row>
    <row r="194" spans="1:8" x14ac:dyDescent="0.25">
      <c r="A194" s="2" t="s">
        <v>258</v>
      </c>
      <c r="G194" s="2">
        <f t="shared" si="10"/>
        <v>0</v>
      </c>
      <c r="H194" s="2" t="str">
        <f t="shared" si="11"/>
        <v>Low</v>
      </c>
    </row>
    <row r="195" spans="1:8" x14ac:dyDescent="0.25">
      <c r="A195" s="2" t="s">
        <v>259</v>
      </c>
      <c r="G195" s="2">
        <f t="shared" si="10"/>
        <v>0</v>
      </c>
      <c r="H195" s="2" t="str">
        <f t="shared" si="11"/>
        <v>Low</v>
      </c>
    </row>
    <row r="196" spans="1:8" x14ac:dyDescent="0.25">
      <c r="A196" s="2" t="s">
        <v>260</v>
      </c>
      <c r="G196" s="2">
        <f t="shared" si="10"/>
        <v>0</v>
      </c>
      <c r="H196" s="2" t="str">
        <f t="shared" si="11"/>
        <v>Low</v>
      </c>
    </row>
    <row r="197" spans="1:8" x14ac:dyDescent="0.25">
      <c r="A197" s="2" t="s">
        <v>261</v>
      </c>
      <c r="G197" s="2">
        <f t="shared" si="10"/>
        <v>0</v>
      </c>
      <c r="H197" s="2" t="str">
        <f t="shared" si="11"/>
        <v>Low</v>
      </c>
    </row>
    <row r="198" spans="1:8" x14ac:dyDescent="0.25">
      <c r="A198" s="2" t="s">
        <v>262</v>
      </c>
      <c r="G198" s="2">
        <f t="shared" ref="G198:G205" si="12">E198*F198</f>
        <v>0</v>
      </c>
      <c r="H198" s="2" t="str">
        <f t="shared" ref="H198:H205" si="13">IF(G198&lt;=7,"Low",IF(G198&lt;=14,"Medium","High"))</f>
        <v>Low</v>
      </c>
    </row>
    <row r="199" spans="1:8" x14ac:dyDescent="0.25">
      <c r="A199" s="2" t="s">
        <v>263</v>
      </c>
      <c r="G199" s="2">
        <f t="shared" si="12"/>
        <v>0</v>
      </c>
      <c r="H199" s="2" t="str">
        <f t="shared" si="13"/>
        <v>Low</v>
      </c>
    </row>
    <row r="200" spans="1:8" x14ac:dyDescent="0.25">
      <c r="A200" s="2" t="s">
        <v>264</v>
      </c>
      <c r="G200" s="2">
        <f t="shared" si="12"/>
        <v>0</v>
      </c>
      <c r="H200" s="2" t="str">
        <f t="shared" si="13"/>
        <v>Low</v>
      </c>
    </row>
    <row r="201" spans="1:8" x14ac:dyDescent="0.25">
      <c r="A201" s="2" t="s">
        <v>265</v>
      </c>
      <c r="G201" s="2">
        <f t="shared" si="12"/>
        <v>0</v>
      </c>
      <c r="H201" s="2" t="str">
        <f t="shared" si="13"/>
        <v>Low</v>
      </c>
    </row>
    <row r="202" spans="1:8" x14ac:dyDescent="0.25">
      <c r="A202" s="2" t="s">
        <v>266</v>
      </c>
      <c r="G202" s="2">
        <f t="shared" si="12"/>
        <v>0</v>
      </c>
      <c r="H202" s="2" t="str">
        <f t="shared" si="13"/>
        <v>Low</v>
      </c>
    </row>
    <row r="203" spans="1:8" x14ac:dyDescent="0.25">
      <c r="A203" s="2" t="s">
        <v>267</v>
      </c>
      <c r="G203" s="2">
        <f t="shared" si="12"/>
        <v>0</v>
      </c>
      <c r="H203" s="2" t="str">
        <f t="shared" si="13"/>
        <v>Low</v>
      </c>
    </row>
    <row r="204" spans="1:8" x14ac:dyDescent="0.25">
      <c r="A204" s="2" t="s">
        <v>268</v>
      </c>
      <c r="G204" s="2">
        <f t="shared" si="12"/>
        <v>0</v>
      </c>
      <c r="H204" s="2" t="str">
        <f t="shared" si="13"/>
        <v>Low</v>
      </c>
    </row>
    <row r="205" spans="1:8" x14ac:dyDescent="0.25">
      <c r="A205" s="2" t="s">
        <v>269</v>
      </c>
      <c r="G205" s="2">
        <f t="shared" si="12"/>
        <v>0</v>
      </c>
      <c r="H205" s="2" t="str">
        <f t="shared" si="13"/>
        <v>Low</v>
      </c>
    </row>
  </sheetData>
  <mergeCells count="3">
    <mergeCell ref="A1:P1"/>
    <mergeCell ref="A2:P2"/>
    <mergeCell ref="A3:P3"/>
  </mergeCells>
  <phoneticPr fontId="9" type="noConversion"/>
  <conditionalFormatting sqref="H6:H205">
    <cfRule type="expression" dxfId="2" priority="1">
      <formula>G6&gt;=15</formula>
    </cfRule>
    <cfRule type="expression" dxfId="1" priority="2">
      <formula>AND(G6&gt;=8,G6&lt;=14)</formula>
    </cfRule>
    <cfRule type="expression" dxfId="0" priority="3">
      <formula>G6&lt;=7</formula>
    </cfRule>
  </conditionalFormatting>
  <dataValidations count="3">
    <dataValidation type="list" allowBlank="1" showDropDown="1" showInputMessage="1" showErrorMessage="1" sqref="E6:F205" xr:uid="{00000000-0002-0000-0000-000000000000}">
      <formula1>"1,2,3,4,5"</formula1>
    </dataValidation>
    <dataValidation type="list" allowBlank="1" showDropDown="1" showInputMessage="1" showErrorMessage="1" sqref="N6:N205" xr:uid="{00000000-0002-0000-0000-000002000000}">
      <formula1>"Open,In Progress,Closed"</formula1>
    </dataValidation>
    <dataValidation type="list" allowBlank="1" showInputMessage="1" showErrorMessage="1" sqref="M6:M205" xr:uid="{EF83DD98-30DA-4ABE-9DF1-B9C40C1D80D2}">
      <formula1>"Plan,Do,Check,Act"</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B2EB6-2322-44A0-881C-250AD6F33766}">
  <dimension ref="A1:L205"/>
  <sheetViews>
    <sheetView zoomScale="58" workbookViewId="0">
      <pane ySplit="5" topLeftCell="A6" activePane="bottomLeft" state="frozen"/>
      <selection pane="bottomLeft" sqref="A1:L1"/>
    </sheetView>
  </sheetViews>
  <sheetFormatPr defaultRowHeight="13.8" x14ac:dyDescent="0.25"/>
  <cols>
    <col min="1" max="1" width="15" style="2" customWidth="1"/>
    <col min="2" max="2" width="10" style="2" customWidth="1"/>
    <col min="3" max="3" width="22" style="2" customWidth="1"/>
    <col min="4" max="4" width="18" style="2" customWidth="1"/>
    <col min="5" max="5" width="20" style="2" customWidth="1"/>
    <col min="6" max="7" width="22" style="2" customWidth="1"/>
    <col min="8" max="8" width="18" style="2" customWidth="1"/>
    <col min="9" max="9" width="16" style="2" customWidth="1"/>
    <col min="10" max="11" width="14" style="2" customWidth="1"/>
    <col min="12" max="12" width="24" style="2" customWidth="1"/>
    <col min="13" max="16384" width="8.88671875" style="2"/>
  </cols>
  <sheetData>
    <row r="1" spans="1:12" ht="17.399999999999999" x14ac:dyDescent="0.25">
      <c r="A1" s="40" t="s">
        <v>501</v>
      </c>
      <c r="B1" s="40"/>
      <c r="C1" s="40"/>
      <c r="D1" s="40"/>
      <c r="E1" s="40"/>
      <c r="F1" s="40"/>
      <c r="G1" s="40"/>
      <c r="H1" s="40"/>
      <c r="I1" s="40"/>
      <c r="J1" s="40"/>
      <c r="K1" s="40"/>
      <c r="L1" s="40"/>
    </row>
    <row r="2" spans="1:12" x14ac:dyDescent="0.25">
      <c r="B2" s="33" t="s">
        <v>1</v>
      </c>
      <c r="C2" s="32"/>
      <c r="D2" s="32"/>
      <c r="E2" s="32"/>
      <c r="F2" s="32"/>
      <c r="G2" s="32"/>
      <c r="H2" s="32"/>
      <c r="I2" s="32"/>
      <c r="J2" s="32"/>
      <c r="K2" s="32"/>
      <c r="L2" s="32"/>
    </row>
    <row r="3" spans="1:12" x14ac:dyDescent="0.25">
      <c r="B3" s="34"/>
      <c r="C3" s="32"/>
      <c r="D3" s="32"/>
      <c r="E3" s="32"/>
      <c r="F3" s="32"/>
      <c r="G3" s="32"/>
      <c r="H3" s="32"/>
      <c r="I3" s="32"/>
      <c r="J3" s="32"/>
      <c r="K3" s="32"/>
      <c r="L3" s="32"/>
    </row>
    <row r="4" spans="1:12" ht="37.799999999999997" customHeight="1" x14ac:dyDescent="0.25"/>
    <row r="5" spans="1:12" ht="27.6" x14ac:dyDescent="0.25">
      <c r="A5" s="9" t="s">
        <v>502</v>
      </c>
      <c r="B5" s="9" t="s">
        <v>3</v>
      </c>
      <c r="C5" s="9" t="s">
        <v>704</v>
      </c>
      <c r="D5" s="9" t="s">
        <v>703</v>
      </c>
      <c r="E5" s="9" t="s">
        <v>705</v>
      </c>
      <c r="F5" s="9" t="s">
        <v>706</v>
      </c>
      <c r="G5" s="9" t="s">
        <v>11</v>
      </c>
      <c r="H5" s="9" t="s">
        <v>707</v>
      </c>
      <c r="I5" s="9" t="s">
        <v>709</v>
      </c>
      <c r="J5" s="9" t="s">
        <v>14</v>
      </c>
      <c r="K5" s="9" t="s">
        <v>708</v>
      </c>
      <c r="L5" s="9" t="s">
        <v>16</v>
      </c>
    </row>
    <row r="6" spans="1:12" x14ac:dyDescent="0.25">
      <c r="A6" s="2" t="s">
        <v>503</v>
      </c>
      <c r="B6" s="2" t="s">
        <v>17</v>
      </c>
      <c r="C6" s="10" t="s">
        <v>710</v>
      </c>
      <c r="D6" s="10" t="s">
        <v>711</v>
      </c>
      <c r="E6" s="10" t="s">
        <v>712</v>
      </c>
      <c r="F6" s="10" t="s">
        <v>713</v>
      </c>
      <c r="G6" s="10" t="s">
        <v>50</v>
      </c>
      <c r="H6" s="10" t="s">
        <v>714</v>
      </c>
      <c r="I6" s="10" t="s">
        <v>715</v>
      </c>
      <c r="J6" s="2" t="s">
        <v>25</v>
      </c>
      <c r="K6" s="10" t="s">
        <v>54</v>
      </c>
      <c r="L6" s="10" t="s">
        <v>55</v>
      </c>
    </row>
    <row r="7" spans="1:12" x14ac:dyDescent="0.25">
      <c r="A7" s="2" t="s">
        <v>504</v>
      </c>
      <c r="B7" s="2" t="s">
        <v>27</v>
      </c>
      <c r="C7" s="10" t="s">
        <v>710</v>
      </c>
      <c r="D7" s="10" t="s">
        <v>711</v>
      </c>
      <c r="E7" s="10" t="s">
        <v>712</v>
      </c>
      <c r="F7" s="10" t="s">
        <v>713</v>
      </c>
      <c r="G7" s="10" t="s">
        <v>50</v>
      </c>
      <c r="H7" s="10" t="s">
        <v>714</v>
      </c>
      <c r="I7" s="10" t="s">
        <v>715</v>
      </c>
      <c r="J7" s="2" t="s">
        <v>35</v>
      </c>
      <c r="K7" s="10" t="s">
        <v>54</v>
      </c>
      <c r="L7" s="10" t="s">
        <v>55</v>
      </c>
    </row>
    <row r="8" spans="1:12" x14ac:dyDescent="0.25">
      <c r="A8" s="2" t="s">
        <v>505</v>
      </c>
      <c r="B8" s="2" t="s">
        <v>36</v>
      </c>
      <c r="C8" s="10" t="s">
        <v>710</v>
      </c>
      <c r="D8" s="10" t="s">
        <v>711</v>
      </c>
      <c r="E8" s="10" t="s">
        <v>712</v>
      </c>
      <c r="F8" s="10" t="s">
        <v>713</v>
      </c>
      <c r="G8" s="10" t="s">
        <v>50</v>
      </c>
      <c r="H8" s="10" t="s">
        <v>714</v>
      </c>
      <c r="I8" s="10" t="s">
        <v>715</v>
      </c>
      <c r="J8" s="2" t="s">
        <v>44</v>
      </c>
      <c r="K8" s="10" t="s">
        <v>54</v>
      </c>
      <c r="L8" s="10" t="s">
        <v>55</v>
      </c>
    </row>
    <row r="9" spans="1:12" x14ac:dyDescent="0.25">
      <c r="A9" s="2" t="s">
        <v>506</v>
      </c>
      <c r="B9" s="2" t="s">
        <v>45</v>
      </c>
      <c r="C9" s="10" t="s">
        <v>710</v>
      </c>
      <c r="D9" s="10" t="s">
        <v>711</v>
      </c>
      <c r="E9" s="10" t="s">
        <v>712</v>
      </c>
      <c r="F9" s="10" t="s">
        <v>713</v>
      </c>
      <c r="G9" s="10" t="s">
        <v>50</v>
      </c>
      <c r="H9" s="10" t="s">
        <v>714</v>
      </c>
      <c r="I9" s="10" t="s">
        <v>715</v>
      </c>
      <c r="J9" s="2" t="s">
        <v>53</v>
      </c>
      <c r="K9" s="10" t="s">
        <v>54</v>
      </c>
      <c r="L9" s="10" t="s">
        <v>55</v>
      </c>
    </row>
    <row r="10" spans="1:12" x14ac:dyDescent="0.25">
      <c r="A10" s="2" t="s">
        <v>507</v>
      </c>
      <c r="B10" s="2" t="s">
        <v>74</v>
      </c>
    </row>
    <row r="11" spans="1:12" x14ac:dyDescent="0.25">
      <c r="A11" s="2" t="s">
        <v>508</v>
      </c>
      <c r="B11" s="2" t="s">
        <v>75</v>
      </c>
    </row>
    <row r="12" spans="1:12" x14ac:dyDescent="0.25">
      <c r="A12" s="2" t="s">
        <v>509</v>
      </c>
      <c r="B12" s="2" t="s">
        <v>76</v>
      </c>
    </row>
    <row r="13" spans="1:12" x14ac:dyDescent="0.25">
      <c r="A13" s="2" t="s">
        <v>510</v>
      </c>
      <c r="B13" s="2" t="s">
        <v>77</v>
      </c>
    </row>
    <row r="14" spans="1:12" x14ac:dyDescent="0.25">
      <c r="A14" s="2" t="s">
        <v>511</v>
      </c>
      <c r="B14" s="2" t="s">
        <v>78</v>
      </c>
    </row>
    <row r="15" spans="1:12" x14ac:dyDescent="0.25">
      <c r="A15" s="2" t="s">
        <v>512</v>
      </c>
      <c r="B15" s="2" t="s">
        <v>79</v>
      </c>
    </row>
    <row r="16" spans="1:12" x14ac:dyDescent="0.25">
      <c r="A16" s="2" t="s">
        <v>513</v>
      </c>
      <c r="B16" s="2" t="s">
        <v>80</v>
      </c>
    </row>
    <row r="17" spans="1:2" x14ac:dyDescent="0.25">
      <c r="A17" s="2" t="s">
        <v>514</v>
      </c>
      <c r="B17" s="2" t="s">
        <v>81</v>
      </c>
    </row>
    <row r="18" spans="1:2" x14ac:dyDescent="0.25">
      <c r="A18" s="2" t="s">
        <v>515</v>
      </c>
      <c r="B18" s="2" t="s">
        <v>82</v>
      </c>
    </row>
    <row r="19" spans="1:2" x14ac:dyDescent="0.25">
      <c r="A19" s="2" t="s">
        <v>516</v>
      </c>
      <c r="B19" s="2" t="s">
        <v>83</v>
      </c>
    </row>
    <row r="20" spans="1:2" x14ac:dyDescent="0.25">
      <c r="A20" s="2" t="s">
        <v>517</v>
      </c>
      <c r="B20" s="2" t="s">
        <v>84</v>
      </c>
    </row>
    <row r="21" spans="1:2" x14ac:dyDescent="0.25">
      <c r="A21" s="2" t="s">
        <v>518</v>
      </c>
      <c r="B21" s="2" t="s">
        <v>85</v>
      </c>
    </row>
    <row r="22" spans="1:2" x14ac:dyDescent="0.25">
      <c r="A22" s="2" t="s">
        <v>519</v>
      </c>
      <c r="B22" s="2" t="s">
        <v>86</v>
      </c>
    </row>
    <row r="23" spans="1:2" x14ac:dyDescent="0.25">
      <c r="A23" s="2" t="s">
        <v>520</v>
      </c>
      <c r="B23" s="2" t="s">
        <v>87</v>
      </c>
    </row>
    <row r="24" spans="1:2" x14ac:dyDescent="0.25">
      <c r="A24" s="2" t="s">
        <v>521</v>
      </c>
      <c r="B24" s="2" t="s">
        <v>88</v>
      </c>
    </row>
    <row r="25" spans="1:2" x14ac:dyDescent="0.25">
      <c r="A25" s="2" t="s">
        <v>522</v>
      </c>
      <c r="B25" s="2" t="s">
        <v>89</v>
      </c>
    </row>
    <row r="26" spans="1:2" x14ac:dyDescent="0.25">
      <c r="A26" s="2" t="s">
        <v>523</v>
      </c>
      <c r="B26" s="2" t="s">
        <v>90</v>
      </c>
    </row>
    <row r="27" spans="1:2" x14ac:dyDescent="0.25">
      <c r="A27" s="2" t="s">
        <v>524</v>
      </c>
      <c r="B27" s="2" t="s">
        <v>91</v>
      </c>
    </row>
    <row r="28" spans="1:2" x14ac:dyDescent="0.25">
      <c r="A28" s="2" t="s">
        <v>525</v>
      </c>
      <c r="B28" s="2" t="s">
        <v>92</v>
      </c>
    </row>
    <row r="29" spans="1:2" x14ac:dyDescent="0.25">
      <c r="A29" s="2" t="s">
        <v>526</v>
      </c>
      <c r="B29" s="2" t="s">
        <v>93</v>
      </c>
    </row>
    <row r="30" spans="1:2" x14ac:dyDescent="0.25">
      <c r="A30" s="2" t="s">
        <v>527</v>
      </c>
      <c r="B30" s="2" t="s">
        <v>94</v>
      </c>
    </row>
    <row r="31" spans="1:2" x14ac:dyDescent="0.25">
      <c r="A31" s="2" t="s">
        <v>528</v>
      </c>
      <c r="B31" s="2" t="s">
        <v>95</v>
      </c>
    </row>
    <row r="32" spans="1:2" x14ac:dyDescent="0.25">
      <c r="A32" s="2" t="s">
        <v>529</v>
      </c>
      <c r="B32" s="2" t="s">
        <v>96</v>
      </c>
    </row>
    <row r="33" spans="1:2" x14ac:dyDescent="0.25">
      <c r="A33" s="2" t="s">
        <v>530</v>
      </c>
      <c r="B33" s="2" t="s">
        <v>97</v>
      </c>
    </row>
    <row r="34" spans="1:2" x14ac:dyDescent="0.25">
      <c r="A34" s="2" t="s">
        <v>531</v>
      </c>
      <c r="B34" s="2" t="s">
        <v>98</v>
      </c>
    </row>
    <row r="35" spans="1:2" x14ac:dyDescent="0.25">
      <c r="A35" s="2" t="s">
        <v>532</v>
      </c>
      <c r="B35" s="2" t="s">
        <v>99</v>
      </c>
    </row>
    <row r="36" spans="1:2" x14ac:dyDescent="0.25">
      <c r="A36" s="2" t="s">
        <v>533</v>
      </c>
      <c r="B36" s="2" t="s">
        <v>100</v>
      </c>
    </row>
    <row r="37" spans="1:2" x14ac:dyDescent="0.25">
      <c r="A37" s="2" t="s">
        <v>534</v>
      </c>
      <c r="B37" s="2" t="s">
        <v>101</v>
      </c>
    </row>
    <row r="38" spans="1:2" x14ac:dyDescent="0.25">
      <c r="A38" s="2" t="s">
        <v>535</v>
      </c>
      <c r="B38" s="2" t="s">
        <v>102</v>
      </c>
    </row>
    <row r="39" spans="1:2" x14ac:dyDescent="0.25">
      <c r="A39" s="2" t="s">
        <v>536</v>
      </c>
      <c r="B39" s="2" t="s">
        <v>103</v>
      </c>
    </row>
    <row r="40" spans="1:2" x14ac:dyDescent="0.25">
      <c r="A40" s="2" t="s">
        <v>537</v>
      </c>
      <c r="B40" s="2" t="s">
        <v>104</v>
      </c>
    </row>
    <row r="41" spans="1:2" x14ac:dyDescent="0.25">
      <c r="A41" s="2" t="s">
        <v>538</v>
      </c>
      <c r="B41" s="2" t="s">
        <v>105</v>
      </c>
    </row>
    <row r="42" spans="1:2" x14ac:dyDescent="0.25">
      <c r="A42" s="2" t="s">
        <v>539</v>
      </c>
      <c r="B42" s="2" t="s">
        <v>106</v>
      </c>
    </row>
    <row r="43" spans="1:2" x14ac:dyDescent="0.25">
      <c r="A43" s="2" t="s">
        <v>540</v>
      </c>
      <c r="B43" s="2" t="s">
        <v>107</v>
      </c>
    </row>
    <row r="44" spans="1:2" x14ac:dyDescent="0.25">
      <c r="A44" s="2" t="s">
        <v>541</v>
      </c>
      <c r="B44" s="2" t="s">
        <v>108</v>
      </c>
    </row>
    <row r="45" spans="1:2" x14ac:dyDescent="0.25">
      <c r="A45" s="2" t="s">
        <v>542</v>
      </c>
      <c r="B45" s="2" t="s">
        <v>109</v>
      </c>
    </row>
    <row r="46" spans="1:2" x14ac:dyDescent="0.25">
      <c r="A46" s="2" t="s">
        <v>543</v>
      </c>
      <c r="B46" s="2" t="s">
        <v>110</v>
      </c>
    </row>
    <row r="47" spans="1:2" x14ac:dyDescent="0.25">
      <c r="A47" s="2" t="s">
        <v>544</v>
      </c>
      <c r="B47" s="2" t="s">
        <v>111</v>
      </c>
    </row>
    <row r="48" spans="1:2" x14ac:dyDescent="0.25">
      <c r="A48" s="2" t="s">
        <v>545</v>
      </c>
      <c r="B48" s="2" t="s">
        <v>112</v>
      </c>
    </row>
    <row r="49" spans="1:2" x14ac:dyDescent="0.25">
      <c r="A49" s="2" t="s">
        <v>546</v>
      </c>
      <c r="B49" s="2" t="s">
        <v>113</v>
      </c>
    </row>
    <row r="50" spans="1:2" x14ac:dyDescent="0.25">
      <c r="A50" s="2" t="s">
        <v>547</v>
      </c>
      <c r="B50" s="2" t="s">
        <v>114</v>
      </c>
    </row>
    <row r="51" spans="1:2" x14ac:dyDescent="0.25">
      <c r="A51" s="2" t="s">
        <v>548</v>
      </c>
      <c r="B51" s="2" t="s">
        <v>115</v>
      </c>
    </row>
    <row r="52" spans="1:2" x14ac:dyDescent="0.25">
      <c r="A52" s="2" t="s">
        <v>549</v>
      </c>
      <c r="B52" s="2" t="s">
        <v>116</v>
      </c>
    </row>
    <row r="53" spans="1:2" x14ac:dyDescent="0.25">
      <c r="A53" s="2" t="s">
        <v>550</v>
      </c>
      <c r="B53" s="2" t="s">
        <v>117</v>
      </c>
    </row>
    <row r="54" spans="1:2" x14ac:dyDescent="0.25">
      <c r="A54" s="2" t="s">
        <v>551</v>
      </c>
      <c r="B54" s="2" t="s">
        <v>118</v>
      </c>
    </row>
    <row r="55" spans="1:2" x14ac:dyDescent="0.25">
      <c r="A55" s="2" t="s">
        <v>552</v>
      </c>
      <c r="B55" s="2" t="s">
        <v>119</v>
      </c>
    </row>
    <row r="56" spans="1:2" x14ac:dyDescent="0.25">
      <c r="A56" s="2" t="s">
        <v>553</v>
      </c>
      <c r="B56" s="2" t="s">
        <v>120</v>
      </c>
    </row>
    <row r="57" spans="1:2" x14ac:dyDescent="0.25">
      <c r="A57" s="2" t="s">
        <v>554</v>
      </c>
      <c r="B57" s="2" t="s">
        <v>121</v>
      </c>
    </row>
    <row r="58" spans="1:2" x14ac:dyDescent="0.25">
      <c r="A58" s="2" t="s">
        <v>555</v>
      </c>
      <c r="B58" s="2" t="s">
        <v>122</v>
      </c>
    </row>
    <row r="59" spans="1:2" x14ac:dyDescent="0.25">
      <c r="A59" s="2" t="s">
        <v>556</v>
      </c>
      <c r="B59" s="2" t="s">
        <v>123</v>
      </c>
    </row>
    <row r="60" spans="1:2" x14ac:dyDescent="0.25">
      <c r="A60" s="2" t="s">
        <v>557</v>
      </c>
      <c r="B60" s="2" t="s">
        <v>124</v>
      </c>
    </row>
    <row r="61" spans="1:2" x14ac:dyDescent="0.25">
      <c r="A61" s="2" t="s">
        <v>558</v>
      </c>
      <c r="B61" s="2" t="s">
        <v>125</v>
      </c>
    </row>
    <row r="62" spans="1:2" x14ac:dyDescent="0.25">
      <c r="A62" s="2" t="s">
        <v>559</v>
      </c>
      <c r="B62" s="2" t="s">
        <v>126</v>
      </c>
    </row>
    <row r="63" spans="1:2" x14ac:dyDescent="0.25">
      <c r="A63" s="2" t="s">
        <v>560</v>
      </c>
      <c r="B63" s="2" t="s">
        <v>127</v>
      </c>
    </row>
    <row r="64" spans="1:2" x14ac:dyDescent="0.25">
      <c r="A64" s="2" t="s">
        <v>561</v>
      </c>
      <c r="B64" s="2" t="s">
        <v>128</v>
      </c>
    </row>
    <row r="65" spans="1:2" x14ac:dyDescent="0.25">
      <c r="A65" s="2" t="s">
        <v>562</v>
      </c>
      <c r="B65" s="2" t="s">
        <v>129</v>
      </c>
    </row>
    <row r="66" spans="1:2" x14ac:dyDescent="0.25">
      <c r="A66" s="2" t="s">
        <v>563</v>
      </c>
      <c r="B66" s="2" t="s">
        <v>130</v>
      </c>
    </row>
    <row r="67" spans="1:2" x14ac:dyDescent="0.25">
      <c r="A67" s="2" t="s">
        <v>564</v>
      </c>
      <c r="B67" s="2" t="s">
        <v>131</v>
      </c>
    </row>
    <row r="68" spans="1:2" x14ac:dyDescent="0.25">
      <c r="A68" s="2" t="s">
        <v>565</v>
      </c>
      <c r="B68" s="2" t="s">
        <v>132</v>
      </c>
    </row>
    <row r="69" spans="1:2" x14ac:dyDescent="0.25">
      <c r="A69" s="2" t="s">
        <v>566</v>
      </c>
      <c r="B69" s="2" t="s">
        <v>133</v>
      </c>
    </row>
    <row r="70" spans="1:2" x14ac:dyDescent="0.25">
      <c r="A70" s="2" t="s">
        <v>567</v>
      </c>
      <c r="B70" s="2" t="s">
        <v>134</v>
      </c>
    </row>
    <row r="71" spans="1:2" x14ac:dyDescent="0.25">
      <c r="A71" s="2" t="s">
        <v>568</v>
      </c>
      <c r="B71" s="2" t="s">
        <v>135</v>
      </c>
    </row>
    <row r="72" spans="1:2" x14ac:dyDescent="0.25">
      <c r="A72" s="2" t="s">
        <v>569</v>
      </c>
      <c r="B72" s="2" t="s">
        <v>136</v>
      </c>
    </row>
    <row r="73" spans="1:2" x14ac:dyDescent="0.25">
      <c r="A73" s="2" t="s">
        <v>570</v>
      </c>
      <c r="B73" s="2" t="s">
        <v>137</v>
      </c>
    </row>
    <row r="74" spans="1:2" x14ac:dyDescent="0.25">
      <c r="A74" s="2" t="s">
        <v>571</v>
      </c>
      <c r="B74" s="2" t="s">
        <v>138</v>
      </c>
    </row>
    <row r="75" spans="1:2" x14ac:dyDescent="0.25">
      <c r="A75" s="2" t="s">
        <v>572</v>
      </c>
      <c r="B75" s="2" t="s">
        <v>139</v>
      </c>
    </row>
    <row r="76" spans="1:2" x14ac:dyDescent="0.25">
      <c r="A76" s="2" t="s">
        <v>573</v>
      </c>
      <c r="B76" s="2" t="s">
        <v>140</v>
      </c>
    </row>
    <row r="77" spans="1:2" x14ac:dyDescent="0.25">
      <c r="A77" s="2" t="s">
        <v>574</v>
      </c>
      <c r="B77" s="2" t="s">
        <v>141</v>
      </c>
    </row>
    <row r="78" spans="1:2" x14ac:dyDescent="0.25">
      <c r="A78" s="2" t="s">
        <v>575</v>
      </c>
      <c r="B78" s="2" t="s">
        <v>142</v>
      </c>
    </row>
    <row r="79" spans="1:2" x14ac:dyDescent="0.25">
      <c r="A79" s="2" t="s">
        <v>576</v>
      </c>
      <c r="B79" s="2" t="s">
        <v>143</v>
      </c>
    </row>
    <row r="80" spans="1:2" x14ac:dyDescent="0.25">
      <c r="A80" s="2" t="s">
        <v>577</v>
      </c>
      <c r="B80" s="2" t="s">
        <v>144</v>
      </c>
    </row>
    <row r="81" spans="1:2" x14ac:dyDescent="0.25">
      <c r="A81" s="2" t="s">
        <v>578</v>
      </c>
      <c r="B81" s="2" t="s">
        <v>145</v>
      </c>
    </row>
    <row r="82" spans="1:2" x14ac:dyDescent="0.25">
      <c r="A82" s="2" t="s">
        <v>579</v>
      </c>
      <c r="B82" s="2" t="s">
        <v>146</v>
      </c>
    </row>
    <row r="83" spans="1:2" x14ac:dyDescent="0.25">
      <c r="A83" s="2" t="s">
        <v>580</v>
      </c>
      <c r="B83" s="2" t="s">
        <v>147</v>
      </c>
    </row>
    <row r="84" spans="1:2" x14ac:dyDescent="0.25">
      <c r="A84" s="2" t="s">
        <v>581</v>
      </c>
      <c r="B84" s="2" t="s">
        <v>148</v>
      </c>
    </row>
    <row r="85" spans="1:2" x14ac:dyDescent="0.25">
      <c r="A85" s="2" t="s">
        <v>582</v>
      </c>
      <c r="B85" s="2" t="s">
        <v>149</v>
      </c>
    </row>
    <row r="86" spans="1:2" x14ac:dyDescent="0.25">
      <c r="A86" s="2" t="s">
        <v>583</v>
      </c>
      <c r="B86" s="2" t="s">
        <v>150</v>
      </c>
    </row>
    <row r="87" spans="1:2" x14ac:dyDescent="0.25">
      <c r="A87" s="2" t="s">
        <v>584</v>
      </c>
      <c r="B87" s="2" t="s">
        <v>151</v>
      </c>
    </row>
    <row r="88" spans="1:2" x14ac:dyDescent="0.25">
      <c r="A88" s="2" t="s">
        <v>585</v>
      </c>
      <c r="B88" s="2" t="s">
        <v>152</v>
      </c>
    </row>
    <row r="89" spans="1:2" x14ac:dyDescent="0.25">
      <c r="A89" s="2" t="s">
        <v>586</v>
      </c>
      <c r="B89" s="2" t="s">
        <v>153</v>
      </c>
    </row>
    <row r="90" spans="1:2" x14ac:dyDescent="0.25">
      <c r="A90" s="2" t="s">
        <v>587</v>
      </c>
      <c r="B90" s="2" t="s">
        <v>154</v>
      </c>
    </row>
    <row r="91" spans="1:2" x14ac:dyDescent="0.25">
      <c r="A91" s="2" t="s">
        <v>588</v>
      </c>
      <c r="B91" s="2" t="s">
        <v>155</v>
      </c>
    </row>
    <row r="92" spans="1:2" x14ac:dyDescent="0.25">
      <c r="A92" s="2" t="s">
        <v>589</v>
      </c>
      <c r="B92" s="2" t="s">
        <v>156</v>
      </c>
    </row>
    <row r="93" spans="1:2" x14ac:dyDescent="0.25">
      <c r="A93" s="2" t="s">
        <v>590</v>
      </c>
      <c r="B93" s="2" t="s">
        <v>157</v>
      </c>
    </row>
    <row r="94" spans="1:2" x14ac:dyDescent="0.25">
      <c r="A94" s="2" t="s">
        <v>591</v>
      </c>
      <c r="B94" s="2" t="s">
        <v>158</v>
      </c>
    </row>
    <row r="95" spans="1:2" x14ac:dyDescent="0.25">
      <c r="A95" s="2" t="s">
        <v>592</v>
      </c>
      <c r="B95" s="2" t="s">
        <v>159</v>
      </c>
    </row>
    <row r="96" spans="1:2" x14ac:dyDescent="0.25">
      <c r="A96" s="2" t="s">
        <v>593</v>
      </c>
      <c r="B96" s="2" t="s">
        <v>160</v>
      </c>
    </row>
    <row r="97" spans="1:2" x14ac:dyDescent="0.25">
      <c r="A97" s="2" t="s">
        <v>594</v>
      </c>
      <c r="B97" s="2" t="s">
        <v>161</v>
      </c>
    </row>
    <row r="98" spans="1:2" x14ac:dyDescent="0.25">
      <c r="A98" s="2" t="s">
        <v>595</v>
      </c>
      <c r="B98" s="2" t="s">
        <v>162</v>
      </c>
    </row>
    <row r="99" spans="1:2" x14ac:dyDescent="0.25">
      <c r="A99" s="2" t="s">
        <v>596</v>
      </c>
      <c r="B99" s="2" t="s">
        <v>163</v>
      </c>
    </row>
    <row r="100" spans="1:2" x14ac:dyDescent="0.25">
      <c r="A100" s="2" t="s">
        <v>597</v>
      </c>
      <c r="B100" s="2" t="s">
        <v>164</v>
      </c>
    </row>
    <row r="101" spans="1:2" x14ac:dyDescent="0.25">
      <c r="A101" s="2" t="s">
        <v>598</v>
      </c>
      <c r="B101" s="2" t="s">
        <v>165</v>
      </c>
    </row>
    <row r="102" spans="1:2" x14ac:dyDescent="0.25">
      <c r="A102" s="2" t="s">
        <v>599</v>
      </c>
      <c r="B102" s="2" t="s">
        <v>166</v>
      </c>
    </row>
    <row r="103" spans="1:2" x14ac:dyDescent="0.25">
      <c r="A103" s="2" t="s">
        <v>600</v>
      </c>
      <c r="B103" s="2" t="s">
        <v>167</v>
      </c>
    </row>
    <row r="104" spans="1:2" x14ac:dyDescent="0.25">
      <c r="A104" s="2" t="s">
        <v>601</v>
      </c>
      <c r="B104" s="2" t="s">
        <v>168</v>
      </c>
    </row>
    <row r="105" spans="1:2" x14ac:dyDescent="0.25">
      <c r="A105" s="2" t="s">
        <v>602</v>
      </c>
      <c r="B105" s="2" t="s">
        <v>169</v>
      </c>
    </row>
    <row r="106" spans="1:2" x14ac:dyDescent="0.25">
      <c r="A106" s="2" t="s">
        <v>603</v>
      </c>
      <c r="B106" s="2" t="s">
        <v>170</v>
      </c>
    </row>
    <row r="107" spans="1:2" x14ac:dyDescent="0.25">
      <c r="A107" s="2" t="s">
        <v>604</v>
      </c>
      <c r="B107" s="2" t="s">
        <v>171</v>
      </c>
    </row>
    <row r="108" spans="1:2" x14ac:dyDescent="0.25">
      <c r="A108" s="2" t="s">
        <v>605</v>
      </c>
      <c r="B108" s="2" t="s">
        <v>172</v>
      </c>
    </row>
    <row r="109" spans="1:2" x14ac:dyDescent="0.25">
      <c r="A109" s="2" t="s">
        <v>606</v>
      </c>
      <c r="B109" s="2" t="s">
        <v>173</v>
      </c>
    </row>
    <row r="110" spans="1:2" x14ac:dyDescent="0.25">
      <c r="A110" s="2" t="s">
        <v>607</v>
      </c>
      <c r="B110" s="2" t="s">
        <v>174</v>
      </c>
    </row>
    <row r="111" spans="1:2" x14ac:dyDescent="0.25">
      <c r="A111" s="2" t="s">
        <v>608</v>
      </c>
      <c r="B111" s="2" t="s">
        <v>175</v>
      </c>
    </row>
    <row r="112" spans="1:2" x14ac:dyDescent="0.25">
      <c r="A112" s="2" t="s">
        <v>609</v>
      </c>
      <c r="B112" s="2" t="s">
        <v>176</v>
      </c>
    </row>
    <row r="113" spans="1:2" x14ac:dyDescent="0.25">
      <c r="A113" s="2" t="s">
        <v>610</v>
      </c>
      <c r="B113" s="2" t="s">
        <v>177</v>
      </c>
    </row>
    <row r="114" spans="1:2" x14ac:dyDescent="0.25">
      <c r="A114" s="2" t="s">
        <v>611</v>
      </c>
      <c r="B114" s="2" t="s">
        <v>178</v>
      </c>
    </row>
    <row r="115" spans="1:2" x14ac:dyDescent="0.25">
      <c r="A115" s="2" t="s">
        <v>612</v>
      </c>
      <c r="B115" s="2" t="s">
        <v>179</v>
      </c>
    </row>
    <row r="116" spans="1:2" x14ac:dyDescent="0.25">
      <c r="A116" s="2" t="s">
        <v>613</v>
      </c>
      <c r="B116" s="2" t="s">
        <v>180</v>
      </c>
    </row>
    <row r="117" spans="1:2" x14ac:dyDescent="0.25">
      <c r="A117" s="2" t="s">
        <v>614</v>
      </c>
      <c r="B117" s="2" t="s">
        <v>181</v>
      </c>
    </row>
    <row r="118" spans="1:2" x14ac:dyDescent="0.25">
      <c r="A118" s="2" t="s">
        <v>615</v>
      </c>
      <c r="B118" s="2" t="s">
        <v>182</v>
      </c>
    </row>
    <row r="119" spans="1:2" x14ac:dyDescent="0.25">
      <c r="A119" s="2" t="s">
        <v>616</v>
      </c>
      <c r="B119" s="2" t="s">
        <v>183</v>
      </c>
    </row>
    <row r="120" spans="1:2" x14ac:dyDescent="0.25">
      <c r="A120" s="2" t="s">
        <v>617</v>
      </c>
      <c r="B120" s="2" t="s">
        <v>184</v>
      </c>
    </row>
    <row r="121" spans="1:2" x14ac:dyDescent="0.25">
      <c r="A121" s="2" t="s">
        <v>618</v>
      </c>
      <c r="B121" s="2" t="s">
        <v>185</v>
      </c>
    </row>
    <row r="122" spans="1:2" x14ac:dyDescent="0.25">
      <c r="A122" s="2" t="s">
        <v>619</v>
      </c>
      <c r="B122" s="2" t="s">
        <v>186</v>
      </c>
    </row>
    <row r="123" spans="1:2" x14ac:dyDescent="0.25">
      <c r="A123" s="2" t="s">
        <v>620</v>
      </c>
      <c r="B123" s="2" t="s">
        <v>187</v>
      </c>
    </row>
    <row r="124" spans="1:2" x14ac:dyDescent="0.25">
      <c r="A124" s="2" t="s">
        <v>621</v>
      </c>
      <c r="B124" s="2" t="s">
        <v>188</v>
      </c>
    </row>
    <row r="125" spans="1:2" x14ac:dyDescent="0.25">
      <c r="A125" s="2" t="s">
        <v>622</v>
      </c>
      <c r="B125" s="2" t="s">
        <v>189</v>
      </c>
    </row>
    <row r="126" spans="1:2" x14ac:dyDescent="0.25">
      <c r="A126" s="2" t="s">
        <v>623</v>
      </c>
      <c r="B126" s="2" t="s">
        <v>190</v>
      </c>
    </row>
    <row r="127" spans="1:2" x14ac:dyDescent="0.25">
      <c r="A127" s="2" t="s">
        <v>624</v>
      </c>
      <c r="B127" s="2" t="s">
        <v>191</v>
      </c>
    </row>
    <row r="128" spans="1:2" x14ac:dyDescent="0.25">
      <c r="A128" s="2" t="s">
        <v>625</v>
      </c>
      <c r="B128" s="2" t="s">
        <v>192</v>
      </c>
    </row>
    <row r="129" spans="1:2" x14ac:dyDescent="0.25">
      <c r="A129" s="2" t="s">
        <v>626</v>
      </c>
      <c r="B129" s="2" t="s">
        <v>193</v>
      </c>
    </row>
    <row r="130" spans="1:2" x14ac:dyDescent="0.25">
      <c r="A130" s="2" t="s">
        <v>627</v>
      </c>
      <c r="B130" s="2" t="s">
        <v>194</v>
      </c>
    </row>
    <row r="131" spans="1:2" x14ac:dyDescent="0.25">
      <c r="A131" s="2" t="s">
        <v>628</v>
      </c>
      <c r="B131" s="2" t="s">
        <v>195</v>
      </c>
    </row>
    <row r="132" spans="1:2" x14ac:dyDescent="0.25">
      <c r="A132" s="2" t="s">
        <v>629</v>
      </c>
      <c r="B132" s="2" t="s">
        <v>196</v>
      </c>
    </row>
    <row r="133" spans="1:2" x14ac:dyDescent="0.25">
      <c r="A133" s="2" t="s">
        <v>630</v>
      </c>
      <c r="B133" s="2" t="s">
        <v>197</v>
      </c>
    </row>
    <row r="134" spans="1:2" x14ac:dyDescent="0.25">
      <c r="A134" s="2" t="s">
        <v>631</v>
      </c>
      <c r="B134" s="2" t="s">
        <v>198</v>
      </c>
    </row>
    <row r="135" spans="1:2" x14ac:dyDescent="0.25">
      <c r="A135" s="2" t="s">
        <v>632</v>
      </c>
      <c r="B135" s="2" t="s">
        <v>199</v>
      </c>
    </row>
    <row r="136" spans="1:2" x14ac:dyDescent="0.25">
      <c r="A136" s="2" t="s">
        <v>633</v>
      </c>
      <c r="B136" s="2" t="s">
        <v>200</v>
      </c>
    </row>
    <row r="137" spans="1:2" x14ac:dyDescent="0.25">
      <c r="A137" s="2" t="s">
        <v>634</v>
      </c>
      <c r="B137" s="2" t="s">
        <v>201</v>
      </c>
    </row>
    <row r="138" spans="1:2" x14ac:dyDescent="0.25">
      <c r="A138" s="2" t="s">
        <v>635</v>
      </c>
      <c r="B138" s="2" t="s">
        <v>202</v>
      </c>
    </row>
    <row r="139" spans="1:2" x14ac:dyDescent="0.25">
      <c r="A139" s="2" t="s">
        <v>636</v>
      </c>
      <c r="B139" s="2" t="s">
        <v>203</v>
      </c>
    </row>
    <row r="140" spans="1:2" x14ac:dyDescent="0.25">
      <c r="A140" s="2" t="s">
        <v>637</v>
      </c>
      <c r="B140" s="2" t="s">
        <v>204</v>
      </c>
    </row>
    <row r="141" spans="1:2" x14ac:dyDescent="0.25">
      <c r="A141" s="2" t="s">
        <v>638</v>
      </c>
      <c r="B141" s="2" t="s">
        <v>205</v>
      </c>
    </row>
    <row r="142" spans="1:2" x14ac:dyDescent="0.25">
      <c r="A142" s="2" t="s">
        <v>639</v>
      </c>
      <c r="B142" s="2" t="s">
        <v>206</v>
      </c>
    </row>
    <row r="143" spans="1:2" x14ac:dyDescent="0.25">
      <c r="A143" s="2" t="s">
        <v>640</v>
      </c>
      <c r="B143" s="2" t="s">
        <v>207</v>
      </c>
    </row>
    <row r="144" spans="1:2" x14ac:dyDescent="0.25">
      <c r="A144" s="2" t="s">
        <v>641</v>
      </c>
      <c r="B144" s="2" t="s">
        <v>208</v>
      </c>
    </row>
    <row r="145" spans="1:2" x14ac:dyDescent="0.25">
      <c r="A145" s="2" t="s">
        <v>642</v>
      </c>
      <c r="B145" s="2" t="s">
        <v>209</v>
      </c>
    </row>
    <row r="146" spans="1:2" x14ac:dyDescent="0.25">
      <c r="A146" s="2" t="s">
        <v>643</v>
      </c>
      <c r="B146" s="2" t="s">
        <v>210</v>
      </c>
    </row>
    <row r="147" spans="1:2" x14ac:dyDescent="0.25">
      <c r="A147" s="2" t="s">
        <v>644</v>
      </c>
      <c r="B147" s="2" t="s">
        <v>211</v>
      </c>
    </row>
    <row r="148" spans="1:2" x14ac:dyDescent="0.25">
      <c r="A148" s="2" t="s">
        <v>645</v>
      </c>
      <c r="B148" s="2" t="s">
        <v>212</v>
      </c>
    </row>
    <row r="149" spans="1:2" x14ac:dyDescent="0.25">
      <c r="A149" s="2" t="s">
        <v>646</v>
      </c>
      <c r="B149" s="2" t="s">
        <v>213</v>
      </c>
    </row>
    <row r="150" spans="1:2" x14ac:dyDescent="0.25">
      <c r="A150" s="2" t="s">
        <v>647</v>
      </c>
      <c r="B150" s="2" t="s">
        <v>214</v>
      </c>
    </row>
    <row r="151" spans="1:2" x14ac:dyDescent="0.25">
      <c r="A151" s="2" t="s">
        <v>648</v>
      </c>
      <c r="B151" s="2" t="s">
        <v>215</v>
      </c>
    </row>
    <row r="152" spans="1:2" x14ac:dyDescent="0.25">
      <c r="A152" s="2" t="s">
        <v>649</v>
      </c>
      <c r="B152" s="2" t="s">
        <v>216</v>
      </c>
    </row>
    <row r="153" spans="1:2" x14ac:dyDescent="0.25">
      <c r="A153" s="2" t="s">
        <v>650</v>
      </c>
      <c r="B153" s="2" t="s">
        <v>217</v>
      </c>
    </row>
    <row r="154" spans="1:2" x14ac:dyDescent="0.25">
      <c r="A154" s="2" t="s">
        <v>651</v>
      </c>
      <c r="B154" s="2" t="s">
        <v>218</v>
      </c>
    </row>
    <row r="155" spans="1:2" x14ac:dyDescent="0.25">
      <c r="A155" s="2" t="s">
        <v>652</v>
      </c>
      <c r="B155" s="2" t="s">
        <v>219</v>
      </c>
    </row>
    <row r="156" spans="1:2" x14ac:dyDescent="0.25">
      <c r="A156" s="2" t="s">
        <v>653</v>
      </c>
      <c r="B156" s="2" t="s">
        <v>220</v>
      </c>
    </row>
    <row r="157" spans="1:2" x14ac:dyDescent="0.25">
      <c r="A157" s="2" t="s">
        <v>654</v>
      </c>
      <c r="B157" s="2" t="s">
        <v>221</v>
      </c>
    </row>
    <row r="158" spans="1:2" x14ac:dyDescent="0.25">
      <c r="A158" s="2" t="s">
        <v>655</v>
      </c>
      <c r="B158" s="2" t="s">
        <v>222</v>
      </c>
    </row>
    <row r="159" spans="1:2" x14ac:dyDescent="0.25">
      <c r="A159" s="2" t="s">
        <v>656</v>
      </c>
      <c r="B159" s="2" t="s">
        <v>223</v>
      </c>
    </row>
    <row r="160" spans="1:2" x14ac:dyDescent="0.25">
      <c r="A160" s="2" t="s">
        <v>657</v>
      </c>
      <c r="B160" s="2" t="s">
        <v>224</v>
      </c>
    </row>
    <row r="161" spans="1:2" x14ac:dyDescent="0.25">
      <c r="A161" s="2" t="s">
        <v>658</v>
      </c>
      <c r="B161" s="2" t="s">
        <v>225</v>
      </c>
    </row>
    <row r="162" spans="1:2" x14ac:dyDescent="0.25">
      <c r="A162" s="2" t="s">
        <v>659</v>
      </c>
      <c r="B162" s="2" t="s">
        <v>226</v>
      </c>
    </row>
    <row r="163" spans="1:2" x14ac:dyDescent="0.25">
      <c r="A163" s="2" t="s">
        <v>660</v>
      </c>
      <c r="B163" s="2" t="s">
        <v>227</v>
      </c>
    </row>
    <row r="164" spans="1:2" x14ac:dyDescent="0.25">
      <c r="A164" s="2" t="s">
        <v>661</v>
      </c>
      <c r="B164" s="2" t="s">
        <v>228</v>
      </c>
    </row>
    <row r="165" spans="1:2" x14ac:dyDescent="0.25">
      <c r="A165" s="2" t="s">
        <v>662</v>
      </c>
      <c r="B165" s="2" t="s">
        <v>229</v>
      </c>
    </row>
    <row r="166" spans="1:2" x14ac:dyDescent="0.25">
      <c r="A166" s="2" t="s">
        <v>663</v>
      </c>
      <c r="B166" s="2" t="s">
        <v>230</v>
      </c>
    </row>
    <row r="167" spans="1:2" x14ac:dyDescent="0.25">
      <c r="A167" s="2" t="s">
        <v>664</v>
      </c>
      <c r="B167" s="2" t="s">
        <v>231</v>
      </c>
    </row>
    <row r="168" spans="1:2" x14ac:dyDescent="0.25">
      <c r="A168" s="2" t="s">
        <v>665</v>
      </c>
      <c r="B168" s="2" t="s">
        <v>232</v>
      </c>
    </row>
    <row r="169" spans="1:2" x14ac:dyDescent="0.25">
      <c r="A169" s="2" t="s">
        <v>666</v>
      </c>
      <c r="B169" s="2" t="s">
        <v>233</v>
      </c>
    </row>
    <row r="170" spans="1:2" x14ac:dyDescent="0.25">
      <c r="A170" s="2" t="s">
        <v>667</v>
      </c>
      <c r="B170" s="2" t="s">
        <v>234</v>
      </c>
    </row>
    <row r="171" spans="1:2" x14ac:dyDescent="0.25">
      <c r="A171" s="2" t="s">
        <v>668</v>
      </c>
      <c r="B171" s="2" t="s">
        <v>235</v>
      </c>
    </row>
    <row r="172" spans="1:2" x14ac:dyDescent="0.25">
      <c r="A172" s="2" t="s">
        <v>669</v>
      </c>
      <c r="B172" s="2" t="s">
        <v>236</v>
      </c>
    </row>
    <row r="173" spans="1:2" x14ac:dyDescent="0.25">
      <c r="A173" s="2" t="s">
        <v>670</v>
      </c>
      <c r="B173" s="2" t="s">
        <v>237</v>
      </c>
    </row>
    <row r="174" spans="1:2" x14ac:dyDescent="0.25">
      <c r="A174" s="2" t="s">
        <v>671</v>
      </c>
      <c r="B174" s="2" t="s">
        <v>238</v>
      </c>
    </row>
    <row r="175" spans="1:2" x14ac:dyDescent="0.25">
      <c r="A175" s="2" t="s">
        <v>672</v>
      </c>
      <c r="B175" s="2" t="s">
        <v>239</v>
      </c>
    </row>
    <row r="176" spans="1:2" x14ac:dyDescent="0.25">
      <c r="A176" s="2" t="s">
        <v>673</v>
      </c>
      <c r="B176" s="2" t="s">
        <v>240</v>
      </c>
    </row>
    <row r="177" spans="1:2" x14ac:dyDescent="0.25">
      <c r="A177" s="2" t="s">
        <v>674</v>
      </c>
      <c r="B177" s="2" t="s">
        <v>241</v>
      </c>
    </row>
    <row r="178" spans="1:2" x14ac:dyDescent="0.25">
      <c r="A178" s="2" t="s">
        <v>675</v>
      </c>
      <c r="B178" s="2" t="s">
        <v>242</v>
      </c>
    </row>
    <row r="179" spans="1:2" x14ac:dyDescent="0.25">
      <c r="A179" s="2" t="s">
        <v>676</v>
      </c>
      <c r="B179" s="2" t="s">
        <v>243</v>
      </c>
    </row>
    <row r="180" spans="1:2" x14ac:dyDescent="0.25">
      <c r="A180" s="2" t="s">
        <v>677</v>
      </c>
      <c r="B180" s="2" t="s">
        <v>244</v>
      </c>
    </row>
    <row r="181" spans="1:2" x14ac:dyDescent="0.25">
      <c r="A181" s="2" t="s">
        <v>678</v>
      </c>
      <c r="B181" s="2" t="s">
        <v>245</v>
      </c>
    </row>
    <row r="182" spans="1:2" x14ac:dyDescent="0.25">
      <c r="A182" s="2" t="s">
        <v>679</v>
      </c>
      <c r="B182" s="2" t="s">
        <v>246</v>
      </c>
    </row>
    <row r="183" spans="1:2" x14ac:dyDescent="0.25">
      <c r="A183" s="2" t="s">
        <v>680</v>
      </c>
      <c r="B183" s="2" t="s">
        <v>247</v>
      </c>
    </row>
    <row r="184" spans="1:2" x14ac:dyDescent="0.25">
      <c r="A184" s="2" t="s">
        <v>681</v>
      </c>
      <c r="B184" s="2" t="s">
        <v>248</v>
      </c>
    </row>
    <row r="185" spans="1:2" x14ac:dyDescent="0.25">
      <c r="A185" s="2" t="s">
        <v>682</v>
      </c>
      <c r="B185" s="2" t="s">
        <v>249</v>
      </c>
    </row>
    <row r="186" spans="1:2" x14ac:dyDescent="0.25">
      <c r="A186" s="2" t="s">
        <v>683</v>
      </c>
      <c r="B186" s="2" t="s">
        <v>250</v>
      </c>
    </row>
    <row r="187" spans="1:2" x14ac:dyDescent="0.25">
      <c r="A187" s="2" t="s">
        <v>684</v>
      </c>
      <c r="B187" s="2" t="s">
        <v>251</v>
      </c>
    </row>
    <row r="188" spans="1:2" x14ac:dyDescent="0.25">
      <c r="A188" s="2" t="s">
        <v>685</v>
      </c>
      <c r="B188" s="2" t="s">
        <v>252</v>
      </c>
    </row>
    <row r="189" spans="1:2" x14ac:dyDescent="0.25">
      <c r="A189" s="2" t="s">
        <v>686</v>
      </c>
      <c r="B189" s="2" t="s">
        <v>253</v>
      </c>
    </row>
    <row r="190" spans="1:2" x14ac:dyDescent="0.25">
      <c r="A190" s="2" t="s">
        <v>687</v>
      </c>
      <c r="B190" s="2" t="s">
        <v>254</v>
      </c>
    </row>
    <row r="191" spans="1:2" x14ac:dyDescent="0.25">
      <c r="A191" s="2" t="s">
        <v>688</v>
      </c>
      <c r="B191" s="2" t="s">
        <v>255</v>
      </c>
    </row>
    <row r="192" spans="1:2" x14ac:dyDescent="0.25">
      <c r="A192" s="2" t="s">
        <v>689</v>
      </c>
      <c r="B192" s="2" t="s">
        <v>256</v>
      </c>
    </row>
    <row r="193" spans="1:2" x14ac:dyDescent="0.25">
      <c r="A193" s="2" t="s">
        <v>690</v>
      </c>
      <c r="B193" s="2" t="s">
        <v>257</v>
      </c>
    </row>
    <row r="194" spans="1:2" x14ac:dyDescent="0.25">
      <c r="A194" s="2" t="s">
        <v>691</v>
      </c>
      <c r="B194" s="2" t="s">
        <v>258</v>
      </c>
    </row>
    <row r="195" spans="1:2" x14ac:dyDescent="0.25">
      <c r="A195" s="2" t="s">
        <v>692</v>
      </c>
      <c r="B195" s="2" t="s">
        <v>259</v>
      </c>
    </row>
    <row r="196" spans="1:2" x14ac:dyDescent="0.25">
      <c r="A196" s="2" t="s">
        <v>693</v>
      </c>
      <c r="B196" s="2" t="s">
        <v>260</v>
      </c>
    </row>
    <row r="197" spans="1:2" x14ac:dyDescent="0.25">
      <c r="A197" s="2" t="s">
        <v>694</v>
      </c>
      <c r="B197" s="2" t="s">
        <v>261</v>
      </c>
    </row>
    <row r="198" spans="1:2" x14ac:dyDescent="0.25">
      <c r="A198" s="2" t="s">
        <v>695</v>
      </c>
      <c r="B198" s="2" t="s">
        <v>262</v>
      </c>
    </row>
    <row r="199" spans="1:2" x14ac:dyDescent="0.25">
      <c r="A199" s="2" t="s">
        <v>696</v>
      </c>
      <c r="B199" s="2" t="s">
        <v>263</v>
      </c>
    </row>
    <row r="200" spans="1:2" x14ac:dyDescent="0.25">
      <c r="A200" s="2" t="s">
        <v>697</v>
      </c>
      <c r="B200" s="2" t="s">
        <v>264</v>
      </c>
    </row>
    <row r="201" spans="1:2" x14ac:dyDescent="0.25">
      <c r="A201" s="2" t="s">
        <v>698</v>
      </c>
      <c r="B201" s="2" t="s">
        <v>265</v>
      </c>
    </row>
    <row r="202" spans="1:2" x14ac:dyDescent="0.25">
      <c r="A202" s="2" t="s">
        <v>699</v>
      </c>
      <c r="B202" s="2" t="s">
        <v>266</v>
      </c>
    </row>
    <row r="203" spans="1:2" x14ac:dyDescent="0.25">
      <c r="A203" s="2" t="s">
        <v>700</v>
      </c>
      <c r="B203" s="2" t="s">
        <v>267</v>
      </c>
    </row>
    <row r="204" spans="1:2" x14ac:dyDescent="0.25">
      <c r="A204" s="2" t="s">
        <v>701</v>
      </c>
      <c r="B204" s="2" t="s">
        <v>268</v>
      </c>
    </row>
    <row r="205" spans="1:2" x14ac:dyDescent="0.25">
      <c r="A205" s="2" t="s">
        <v>702</v>
      </c>
      <c r="B205" s="2" t="s">
        <v>269</v>
      </c>
    </row>
  </sheetData>
  <mergeCells count="3">
    <mergeCell ref="B2:L2"/>
    <mergeCell ref="B3:L3"/>
    <mergeCell ref="A1:L1"/>
  </mergeCells>
  <dataValidations count="2">
    <dataValidation type="list" allowBlank="1" showDropDown="1" showInputMessage="1" showErrorMessage="1" sqref="J203:J205 J19:J202" xr:uid="{13520FCA-D970-4761-AF07-B5EE8B68F771}">
      <formula1>"Open,In Progress,Closed"</formula1>
    </dataValidation>
    <dataValidation type="list" allowBlank="1" showInputMessage="1" showErrorMessage="1" sqref="J6:J18" xr:uid="{8B4DC7D5-3236-4237-9A04-A100A661A7EE}">
      <formula1>"Open,In Progress,Closed"</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914D7-94EF-438D-84E2-4561EBF7F388}">
  <dimension ref="A1:C100"/>
  <sheetViews>
    <sheetView topLeftCell="A47" zoomScaleNormal="100" workbookViewId="0">
      <selection activeCell="F55" sqref="A1:XFD1048576"/>
    </sheetView>
  </sheetViews>
  <sheetFormatPr defaultRowHeight="14.4" x14ac:dyDescent="0.3"/>
  <cols>
    <col min="1" max="1" width="13.44140625" style="1" customWidth="1"/>
    <col min="2" max="2" width="23.77734375" style="12" customWidth="1"/>
    <col min="3" max="3" width="50.21875" style="12" customWidth="1"/>
    <col min="4" max="16384" width="8.88671875" style="1"/>
  </cols>
  <sheetData>
    <row r="1" spans="1:3" x14ac:dyDescent="0.3">
      <c r="A1" s="35" t="s">
        <v>479</v>
      </c>
      <c r="B1" s="35"/>
      <c r="C1" s="35"/>
    </row>
    <row r="2" spans="1:3" x14ac:dyDescent="0.3">
      <c r="B2" s="11"/>
      <c r="C2" s="11"/>
    </row>
    <row r="3" spans="1:3" x14ac:dyDescent="0.3">
      <c r="A3" s="14" t="s">
        <v>466</v>
      </c>
      <c r="B3" s="15" t="s">
        <v>270</v>
      </c>
      <c r="C3" s="15" t="s">
        <v>271</v>
      </c>
    </row>
    <row r="4" spans="1:3" x14ac:dyDescent="0.3">
      <c r="A4" s="14" t="s">
        <v>272</v>
      </c>
      <c r="B4" s="18" t="s">
        <v>273</v>
      </c>
      <c r="C4" s="18"/>
    </row>
    <row r="5" spans="1:3" ht="72" x14ac:dyDescent="0.3">
      <c r="A5" s="16">
        <v>5.0999999999999996</v>
      </c>
      <c r="B5" s="17" t="s">
        <v>274</v>
      </c>
      <c r="C5" s="17" t="s">
        <v>275</v>
      </c>
    </row>
    <row r="6" spans="1:3" ht="28.8" x14ac:dyDescent="0.3">
      <c r="A6" s="16">
        <v>5.2</v>
      </c>
      <c r="B6" s="17" t="s">
        <v>276</v>
      </c>
      <c r="C6" s="17" t="s">
        <v>277</v>
      </c>
    </row>
    <row r="7" spans="1:3" ht="28.8" x14ac:dyDescent="0.3">
      <c r="A7" s="16">
        <v>5.3</v>
      </c>
      <c r="B7" s="17" t="s">
        <v>278</v>
      </c>
      <c r="C7" s="17" t="s">
        <v>279</v>
      </c>
    </row>
    <row r="8" spans="1:3" ht="57.6" x14ac:dyDescent="0.3">
      <c r="A8" s="16">
        <v>5.4</v>
      </c>
      <c r="B8" s="17" t="s">
        <v>280</v>
      </c>
      <c r="C8" s="17" t="s">
        <v>281</v>
      </c>
    </row>
    <row r="9" spans="1:3" ht="28.8" x14ac:dyDescent="0.3">
      <c r="A9" s="16">
        <v>5.5</v>
      </c>
      <c r="B9" s="17" t="s">
        <v>282</v>
      </c>
      <c r="C9" s="17" t="s">
        <v>283</v>
      </c>
    </row>
    <row r="10" spans="1:3" ht="43.2" x14ac:dyDescent="0.3">
      <c r="A10" s="16">
        <v>5.6</v>
      </c>
      <c r="B10" s="17" t="s">
        <v>284</v>
      </c>
      <c r="C10" s="17" t="s">
        <v>285</v>
      </c>
    </row>
    <row r="11" spans="1:3" ht="28.8" x14ac:dyDescent="0.3">
      <c r="A11" s="16">
        <v>5.7</v>
      </c>
      <c r="B11" s="17" t="s">
        <v>286</v>
      </c>
      <c r="C11" s="17" t="s">
        <v>287</v>
      </c>
    </row>
    <row r="12" spans="1:3" ht="28.8" x14ac:dyDescent="0.3">
      <c r="A12" s="16">
        <v>5.8</v>
      </c>
      <c r="B12" s="17" t="s">
        <v>288</v>
      </c>
      <c r="C12" s="17" t="s">
        <v>289</v>
      </c>
    </row>
    <row r="13" spans="1:3" ht="28.8" x14ac:dyDescent="0.3">
      <c r="A13" s="16">
        <v>5.9</v>
      </c>
      <c r="B13" s="17" t="s">
        <v>290</v>
      </c>
      <c r="C13" s="17" t="s">
        <v>291</v>
      </c>
    </row>
    <row r="14" spans="1:3" ht="43.2" x14ac:dyDescent="0.3">
      <c r="A14" s="16">
        <v>5.0999999999999996</v>
      </c>
      <c r="B14" s="17" t="s">
        <v>292</v>
      </c>
      <c r="C14" s="17" t="s">
        <v>293</v>
      </c>
    </row>
    <row r="15" spans="1:3" ht="57.6" x14ac:dyDescent="0.3">
      <c r="A15" s="16">
        <v>5.1100000000000003</v>
      </c>
      <c r="B15" s="17" t="s">
        <v>294</v>
      </c>
      <c r="C15" s="17" t="s">
        <v>295</v>
      </c>
    </row>
    <row r="16" spans="1:3" ht="57.6" x14ac:dyDescent="0.3">
      <c r="A16" s="16">
        <v>5.12</v>
      </c>
      <c r="B16" s="17" t="s">
        <v>296</v>
      </c>
      <c r="C16" s="17" t="s">
        <v>297</v>
      </c>
    </row>
    <row r="17" spans="1:3" ht="57.6" x14ac:dyDescent="0.3">
      <c r="A17" s="16">
        <v>5.13</v>
      </c>
      <c r="B17" s="17" t="s">
        <v>298</v>
      </c>
      <c r="C17" s="17" t="s">
        <v>299</v>
      </c>
    </row>
    <row r="18" spans="1:3" ht="57.6" x14ac:dyDescent="0.3">
      <c r="A18" s="16">
        <v>5.14</v>
      </c>
      <c r="B18" s="17" t="s">
        <v>300</v>
      </c>
      <c r="C18" s="17" t="s">
        <v>301</v>
      </c>
    </row>
    <row r="19" spans="1:3" ht="57.6" x14ac:dyDescent="0.3">
      <c r="A19" s="16">
        <v>5.15</v>
      </c>
      <c r="B19" s="17" t="s">
        <v>302</v>
      </c>
      <c r="C19" s="17" t="s">
        <v>303</v>
      </c>
    </row>
    <row r="20" spans="1:3" x14ac:dyDescent="0.3">
      <c r="A20" s="16">
        <v>5.16</v>
      </c>
      <c r="B20" s="17" t="s">
        <v>304</v>
      </c>
      <c r="C20" s="17" t="s">
        <v>305</v>
      </c>
    </row>
    <row r="21" spans="1:3" ht="57.6" x14ac:dyDescent="0.3">
      <c r="A21" s="16">
        <v>5.17</v>
      </c>
      <c r="B21" s="17" t="s">
        <v>306</v>
      </c>
      <c r="C21" s="17" t="s">
        <v>307</v>
      </c>
    </row>
    <row r="22" spans="1:3" ht="57.6" x14ac:dyDescent="0.3">
      <c r="A22" s="16">
        <v>5.18</v>
      </c>
      <c r="B22" s="17" t="s">
        <v>308</v>
      </c>
      <c r="C22" s="17" t="s">
        <v>309</v>
      </c>
    </row>
    <row r="23" spans="1:3" ht="43.2" x14ac:dyDescent="0.3">
      <c r="A23" s="16">
        <v>5.19</v>
      </c>
      <c r="B23" s="17" t="s">
        <v>310</v>
      </c>
      <c r="C23" s="17" t="s">
        <v>311</v>
      </c>
    </row>
    <row r="24" spans="1:3" ht="43.2" x14ac:dyDescent="0.3">
      <c r="A24" s="16">
        <v>5.2</v>
      </c>
      <c r="B24" s="17" t="s">
        <v>312</v>
      </c>
      <c r="C24" s="17" t="s">
        <v>313</v>
      </c>
    </row>
    <row r="25" spans="1:3" ht="72" x14ac:dyDescent="0.3">
      <c r="A25" s="16">
        <v>5.21</v>
      </c>
      <c r="B25" s="17" t="s">
        <v>314</v>
      </c>
      <c r="C25" s="17" t="s">
        <v>315</v>
      </c>
    </row>
    <row r="26" spans="1:3" ht="43.2" x14ac:dyDescent="0.3">
      <c r="A26" s="16">
        <v>5.22</v>
      </c>
      <c r="B26" s="17" t="s">
        <v>316</v>
      </c>
      <c r="C26" s="17" t="s">
        <v>317</v>
      </c>
    </row>
    <row r="27" spans="1:3" ht="43.2" x14ac:dyDescent="0.3">
      <c r="A27" s="16">
        <v>5.23</v>
      </c>
      <c r="B27" s="17" t="s">
        <v>318</v>
      </c>
      <c r="C27" s="17" t="s">
        <v>319</v>
      </c>
    </row>
    <row r="28" spans="1:3" ht="57.6" x14ac:dyDescent="0.3">
      <c r="A28" s="16">
        <v>5.24</v>
      </c>
      <c r="B28" s="17" t="s">
        <v>320</v>
      </c>
      <c r="C28" s="17" t="s">
        <v>321</v>
      </c>
    </row>
    <row r="29" spans="1:3" ht="43.2" x14ac:dyDescent="0.3">
      <c r="A29" s="16">
        <v>5.25</v>
      </c>
      <c r="B29" s="17" t="s">
        <v>322</v>
      </c>
      <c r="C29" s="17" t="s">
        <v>323</v>
      </c>
    </row>
    <row r="30" spans="1:3" ht="28.8" x14ac:dyDescent="0.3">
      <c r="A30" s="16">
        <v>5.26</v>
      </c>
      <c r="B30" s="17" t="s">
        <v>324</v>
      </c>
      <c r="C30" s="17" t="s">
        <v>325</v>
      </c>
    </row>
    <row r="31" spans="1:3" ht="43.2" x14ac:dyDescent="0.3">
      <c r="A31" s="16">
        <v>5.27</v>
      </c>
      <c r="B31" s="17" t="s">
        <v>326</v>
      </c>
      <c r="C31" s="17" t="s">
        <v>327</v>
      </c>
    </row>
    <row r="32" spans="1:3" ht="57.6" x14ac:dyDescent="0.3">
      <c r="A32" s="16">
        <v>5.28</v>
      </c>
      <c r="B32" s="17" t="s">
        <v>328</v>
      </c>
      <c r="C32" s="17" t="s">
        <v>329</v>
      </c>
    </row>
    <row r="33" spans="1:3" ht="28.8" x14ac:dyDescent="0.3">
      <c r="A33" s="16">
        <v>5.29</v>
      </c>
      <c r="B33" s="17" t="s">
        <v>330</v>
      </c>
      <c r="C33" s="17" t="s">
        <v>331</v>
      </c>
    </row>
    <row r="34" spans="1:3" ht="43.2" x14ac:dyDescent="0.3">
      <c r="A34" s="16">
        <v>5.3</v>
      </c>
      <c r="B34" s="17" t="s">
        <v>332</v>
      </c>
      <c r="C34" s="17" t="s">
        <v>333</v>
      </c>
    </row>
    <row r="35" spans="1:3" ht="57.6" x14ac:dyDescent="0.3">
      <c r="A35" s="16">
        <v>5.31</v>
      </c>
      <c r="B35" s="17" t="s">
        <v>334</v>
      </c>
      <c r="C35" s="17" t="s">
        <v>335</v>
      </c>
    </row>
    <row r="36" spans="1:3" ht="28.8" x14ac:dyDescent="0.3">
      <c r="A36" s="16">
        <v>5.32</v>
      </c>
      <c r="B36" s="17" t="s">
        <v>336</v>
      </c>
      <c r="C36" s="17" t="s">
        <v>337</v>
      </c>
    </row>
    <row r="37" spans="1:3" ht="43.2" x14ac:dyDescent="0.3">
      <c r="A37" s="16">
        <v>5.33</v>
      </c>
      <c r="B37" s="17" t="s">
        <v>338</v>
      </c>
      <c r="C37" s="17" t="s">
        <v>339</v>
      </c>
    </row>
    <row r="38" spans="1:3" ht="57.6" x14ac:dyDescent="0.3">
      <c r="A38" s="16">
        <v>5.34</v>
      </c>
      <c r="B38" s="17" t="s">
        <v>340</v>
      </c>
      <c r="C38" s="17" t="s">
        <v>341</v>
      </c>
    </row>
    <row r="39" spans="1:3" ht="57.6" x14ac:dyDescent="0.3">
      <c r="A39" s="16">
        <v>5.35</v>
      </c>
      <c r="B39" s="17" t="s">
        <v>342</v>
      </c>
      <c r="C39" s="17" t="s">
        <v>343</v>
      </c>
    </row>
    <row r="40" spans="1:3" ht="43.2" x14ac:dyDescent="0.3">
      <c r="A40" s="16">
        <v>5.36</v>
      </c>
      <c r="B40" s="19" t="s">
        <v>344</v>
      </c>
      <c r="C40" s="19" t="s">
        <v>345</v>
      </c>
    </row>
    <row r="41" spans="1:3" ht="43.2" x14ac:dyDescent="0.3">
      <c r="A41" s="16">
        <v>5.3699999999999903</v>
      </c>
      <c r="B41" s="17" t="s">
        <v>346</v>
      </c>
      <c r="C41" s="17" t="s">
        <v>347</v>
      </c>
    </row>
    <row r="42" spans="1:3" s="13" customFormat="1" x14ac:dyDescent="0.3">
      <c r="A42" s="14" t="s">
        <v>348</v>
      </c>
      <c r="B42" s="18" t="s">
        <v>349</v>
      </c>
      <c r="C42" s="18"/>
    </row>
    <row r="43" spans="1:3" ht="100.8" x14ac:dyDescent="0.3">
      <c r="A43" s="16">
        <v>6.1</v>
      </c>
      <c r="B43" s="17" t="s">
        <v>350</v>
      </c>
      <c r="C43" s="17" t="s">
        <v>351</v>
      </c>
    </row>
    <row r="44" spans="1:3" ht="43.2" x14ac:dyDescent="0.3">
      <c r="A44" s="16">
        <v>6.2</v>
      </c>
      <c r="B44" s="17" t="s">
        <v>352</v>
      </c>
      <c r="C44" s="17" t="s">
        <v>353</v>
      </c>
    </row>
    <row r="45" spans="1:3" ht="86.4" x14ac:dyDescent="0.3">
      <c r="A45" s="16">
        <v>6.3</v>
      </c>
      <c r="B45" s="17" t="s">
        <v>354</v>
      </c>
      <c r="C45" s="17" t="s">
        <v>355</v>
      </c>
    </row>
    <row r="46" spans="1:3" ht="57.6" x14ac:dyDescent="0.3">
      <c r="A46" s="16">
        <v>6.4</v>
      </c>
      <c r="B46" s="17" t="s">
        <v>356</v>
      </c>
      <c r="C46" s="17" t="s">
        <v>357</v>
      </c>
    </row>
    <row r="47" spans="1:3" ht="57.6" x14ac:dyDescent="0.3">
      <c r="A47" s="16">
        <v>6.5</v>
      </c>
      <c r="B47" s="17" t="s">
        <v>358</v>
      </c>
      <c r="C47" s="17" t="s">
        <v>359</v>
      </c>
    </row>
    <row r="48" spans="1:3" ht="57.6" x14ac:dyDescent="0.3">
      <c r="A48" s="16">
        <v>6.6</v>
      </c>
      <c r="B48" s="17" t="s">
        <v>360</v>
      </c>
      <c r="C48" s="17" t="s">
        <v>361</v>
      </c>
    </row>
    <row r="49" spans="1:3" ht="43.2" x14ac:dyDescent="0.3">
      <c r="A49" s="16">
        <v>6.7</v>
      </c>
      <c r="B49" s="19" t="s">
        <v>362</v>
      </c>
      <c r="C49" s="19" t="s">
        <v>363</v>
      </c>
    </row>
    <row r="50" spans="1:3" ht="43.2" x14ac:dyDescent="0.3">
      <c r="A50" s="16">
        <v>6.8</v>
      </c>
      <c r="B50" s="17" t="s">
        <v>364</v>
      </c>
      <c r="C50" s="17" t="s">
        <v>365</v>
      </c>
    </row>
    <row r="51" spans="1:3" s="13" customFormat="1" x14ac:dyDescent="0.3">
      <c r="A51" s="14" t="s">
        <v>366</v>
      </c>
      <c r="B51" s="18" t="s">
        <v>367</v>
      </c>
      <c r="C51" s="18"/>
    </row>
    <row r="52" spans="1:3" ht="43.2" x14ac:dyDescent="0.3">
      <c r="A52" s="16">
        <v>7.1</v>
      </c>
      <c r="B52" s="17" t="s">
        <v>368</v>
      </c>
      <c r="C52" s="17" t="s">
        <v>369</v>
      </c>
    </row>
    <row r="53" spans="1:3" ht="28.8" x14ac:dyDescent="0.3">
      <c r="A53" s="16">
        <v>7.2</v>
      </c>
      <c r="B53" s="17" t="s">
        <v>370</v>
      </c>
      <c r="C53" s="17" t="s">
        <v>371</v>
      </c>
    </row>
    <row r="54" spans="1:3" ht="28.8" x14ac:dyDescent="0.3">
      <c r="A54" s="16">
        <v>7.3</v>
      </c>
      <c r="B54" s="17" t="s">
        <v>372</v>
      </c>
      <c r="C54" s="17" t="s">
        <v>373</v>
      </c>
    </row>
    <row r="55" spans="1:3" ht="28.8" x14ac:dyDescent="0.3">
      <c r="A55" s="16">
        <v>7.4</v>
      </c>
      <c r="B55" s="17" t="s">
        <v>374</v>
      </c>
      <c r="C55" s="17" t="s">
        <v>375</v>
      </c>
    </row>
    <row r="56" spans="1:3" ht="57.6" x14ac:dyDescent="0.3">
      <c r="A56" s="16">
        <v>7.5</v>
      </c>
      <c r="B56" s="17" t="s">
        <v>376</v>
      </c>
      <c r="C56" s="17" t="s">
        <v>377</v>
      </c>
    </row>
    <row r="57" spans="1:3" ht="28.8" x14ac:dyDescent="0.3">
      <c r="A57" s="16">
        <v>7.6</v>
      </c>
      <c r="B57" s="17" t="s">
        <v>378</v>
      </c>
      <c r="C57" s="17" t="s">
        <v>379</v>
      </c>
    </row>
    <row r="58" spans="1:3" ht="43.2" x14ac:dyDescent="0.3">
      <c r="A58" s="16">
        <v>7.7</v>
      </c>
      <c r="B58" s="17" t="s">
        <v>380</v>
      </c>
      <c r="C58" s="17" t="s">
        <v>381</v>
      </c>
    </row>
    <row r="59" spans="1:3" ht="28.8" x14ac:dyDescent="0.3">
      <c r="A59" s="16">
        <v>7.8</v>
      </c>
      <c r="B59" s="17" t="s">
        <v>382</v>
      </c>
      <c r="C59" s="17" t="s">
        <v>383</v>
      </c>
    </row>
    <row r="60" spans="1:3" ht="28.8" x14ac:dyDescent="0.3">
      <c r="A60" s="16">
        <v>7.9</v>
      </c>
      <c r="B60" s="17" t="s">
        <v>384</v>
      </c>
      <c r="C60" s="17" t="s">
        <v>385</v>
      </c>
    </row>
    <row r="61" spans="1:3" ht="57.6" x14ac:dyDescent="0.3">
      <c r="A61" s="16">
        <v>7.1</v>
      </c>
      <c r="B61" s="17" t="s">
        <v>386</v>
      </c>
      <c r="C61" s="17" t="s">
        <v>387</v>
      </c>
    </row>
    <row r="62" spans="1:3" ht="43.2" x14ac:dyDescent="0.3">
      <c r="A62" s="16">
        <v>7.11</v>
      </c>
      <c r="B62" s="17" t="s">
        <v>388</v>
      </c>
      <c r="C62" s="17" t="s">
        <v>389</v>
      </c>
    </row>
    <row r="63" spans="1:3" ht="43.2" x14ac:dyDescent="0.3">
      <c r="A63" s="16">
        <v>7.12</v>
      </c>
      <c r="B63" s="17" t="s">
        <v>390</v>
      </c>
      <c r="C63" s="17" t="s">
        <v>391</v>
      </c>
    </row>
    <row r="64" spans="1:3" ht="28.8" x14ac:dyDescent="0.3">
      <c r="A64" s="16">
        <v>7.13</v>
      </c>
      <c r="B64" s="19" t="s">
        <v>392</v>
      </c>
      <c r="C64" s="19" t="s">
        <v>393</v>
      </c>
    </row>
    <row r="65" spans="1:3" ht="57.6" x14ac:dyDescent="0.3">
      <c r="A65" s="16">
        <v>7.14</v>
      </c>
      <c r="B65" s="17" t="s">
        <v>394</v>
      </c>
      <c r="C65" s="17" t="s">
        <v>395</v>
      </c>
    </row>
    <row r="66" spans="1:3" s="13" customFormat="1" x14ac:dyDescent="0.3">
      <c r="A66" s="14" t="s">
        <v>396</v>
      </c>
      <c r="B66" s="18" t="s">
        <v>397</v>
      </c>
      <c r="C66" s="18"/>
    </row>
    <row r="67" spans="1:3" ht="28.8" x14ac:dyDescent="0.3">
      <c r="A67" s="16">
        <v>8.1</v>
      </c>
      <c r="B67" s="17" t="s">
        <v>398</v>
      </c>
      <c r="C67" s="17" t="s">
        <v>399</v>
      </c>
    </row>
    <row r="68" spans="1:3" ht="28.8" x14ac:dyDescent="0.3">
      <c r="A68" s="16">
        <v>8.1999999999999993</v>
      </c>
      <c r="B68" s="17" t="s">
        <v>400</v>
      </c>
      <c r="C68" s="17" t="s">
        <v>401</v>
      </c>
    </row>
    <row r="69" spans="1:3" ht="43.2" x14ac:dyDescent="0.3">
      <c r="A69" s="16">
        <v>8.3000000000000007</v>
      </c>
      <c r="B69" s="17" t="s">
        <v>402</v>
      </c>
      <c r="C69" s="17" t="s">
        <v>403</v>
      </c>
    </row>
    <row r="70" spans="1:3" ht="28.8" x14ac:dyDescent="0.3">
      <c r="A70" s="16">
        <v>8.4</v>
      </c>
      <c r="B70" s="17" t="s">
        <v>404</v>
      </c>
      <c r="C70" s="17" t="s">
        <v>405</v>
      </c>
    </row>
    <row r="71" spans="1:3" ht="43.2" x14ac:dyDescent="0.3">
      <c r="A71" s="16">
        <v>8.5</v>
      </c>
      <c r="B71" s="17" t="s">
        <v>406</v>
      </c>
      <c r="C71" s="17" t="s">
        <v>407</v>
      </c>
    </row>
    <row r="72" spans="1:3" ht="28.8" x14ac:dyDescent="0.3">
      <c r="A72" s="16">
        <v>8.6000000000000103</v>
      </c>
      <c r="B72" s="17" t="s">
        <v>408</v>
      </c>
      <c r="C72" s="17" t="s">
        <v>409</v>
      </c>
    </row>
    <row r="73" spans="1:3" ht="28.8" x14ac:dyDescent="0.3">
      <c r="A73" s="16">
        <v>8.7000000000000099</v>
      </c>
      <c r="B73" s="17" t="s">
        <v>410</v>
      </c>
      <c r="C73" s="17" t="s">
        <v>411</v>
      </c>
    </row>
    <row r="74" spans="1:3" ht="57.6" x14ac:dyDescent="0.3">
      <c r="A74" s="16">
        <v>8.8000000000000096</v>
      </c>
      <c r="B74" s="17" t="s">
        <v>412</v>
      </c>
      <c r="C74" s="17" t="s">
        <v>413</v>
      </c>
    </row>
    <row r="75" spans="1:3" ht="57.6" x14ac:dyDescent="0.3">
      <c r="A75" s="16">
        <v>8.9000000000000092</v>
      </c>
      <c r="B75" s="17" t="s">
        <v>414</v>
      </c>
      <c r="C75" s="17" t="s">
        <v>415</v>
      </c>
    </row>
    <row r="76" spans="1:3" ht="43.2" x14ac:dyDescent="0.3">
      <c r="A76" s="16">
        <v>8.1</v>
      </c>
      <c r="B76" s="17" t="s">
        <v>416</v>
      </c>
      <c r="C76" s="17" t="s">
        <v>417</v>
      </c>
    </row>
    <row r="77" spans="1:3" ht="72" x14ac:dyDescent="0.3">
      <c r="A77" s="16">
        <v>8.11</v>
      </c>
      <c r="B77" s="17" t="s">
        <v>418</v>
      </c>
      <c r="C77" s="17" t="s">
        <v>419</v>
      </c>
    </row>
    <row r="78" spans="1:3" ht="43.2" x14ac:dyDescent="0.3">
      <c r="A78" s="16">
        <v>8.1199999999999992</v>
      </c>
      <c r="B78" s="17" t="s">
        <v>420</v>
      </c>
      <c r="C78" s="17" t="s">
        <v>421</v>
      </c>
    </row>
    <row r="79" spans="1:3" ht="43.2" x14ac:dyDescent="0.3">
      <c r="A79" s="16">
        <v>8.1299999999999901</v>
      </c>
      <c r="B79" s="17" t="s">
        <v>422</v>
      </c>
      <c r="C79" s="17" t="s">
        <v>423</v>
      </c>
    </row>
    <row r="80" spans="1:3" ht="28.8" x14ac:dyDescent="0.3">
      <c r="A80" s="16">
        <v>8.1399999999999899</v>
      </c>
      <c r="B80" s="17" t="s">
        <v>424</v>
      </c>
      <c r="C80" s="17" t="s">
        <v>425</v>
      </c>
    </row>
    <row r="81" spans="1:3" ht="43.2" x14ac:dyDescent="0.3">
      <c r="A81" s="16">
        <v>8.1499999999999897</v>
      </c>
      <c r="B81" s="17" t="s">
        <v>426</v>
      </c>
      <c r="C81" s="17" t="s">
        <v>427</v>
      </c>
    </row>
    <row r="82" spans="1:3" ht="43.2" x14ac:dyDescent="0.3">
      <c r="A82" s="16">
        <v>8.1599999999999895</v>
      </c>
      <c r="B82" s="17" t="s">
        <v>428</v>
      </c>
      <c r="C82" s="17" t="s">
        <v>429</v>
      </c>
    </row>
    <row r="83" spans="1:3" ht="43.2" x14ac:dyDescent="0.3">
      <c r="A83" s="16">
        <v>8.1699999999999893</v>
      </c>
      <c r="B83" s="17" t="s">
        <v>430</v>
      </c>
      <c r="C83" s="17" t="s">
        <v>431</v>
      </c>
    </row>
    <row r="84" spans="1:3" ht="43.2" x14ac:dyDescent="0.3">
      <c r="A84" s="16">
        <v>8.1799999999999802</v>
      </c>
      <c r="B84" s="17" t="s">
        <v>432</v>
      </c>
      <c r="C84" s="17" t="s">
        <v>433</v>
      </c>
    </row>
    <row r="85" spans="1:3" ht="28.8" x14ac:dyDescent="0.3">
      <c r="A85" s="16">
        <v>8.18999999999998</v>
      </c>
      <c r="B85" s="17" t="s">
        <v>434</v>
      </c>
      <c r="C85" s="17" t="s">
        <v>435</v>
      </c>
    </row>
    <row r="86" spans="1:3" ht="43.2" x14ac:dyDescent="0.3">
      <c r="A86" s="16">
        <v>8.1999999999999797</v>
      </c>
      <c r="B86" s="17" t="s">
        <v>436</v>
      </c>
      <c r="C86" s="17" t="s">
        <v>437</v>
      </c>
    </row>
    <row r="87" spans="1:3" ht="43.2" x14ac:dyDescent="0.3">
      <c r="A87" s="16">
        <v>8.2099999999999795</v>
      </c>
      <c r="B87" s="17" t="s">
        <v>438</v>
      </c>
      <c r="C87" s="17" t="s">
        <v>439</v>
      </c>
    </row>
    <row r="88" spans="1:3" ht="43.2" x14ac:dyDescent="0.3">
      <c r="A88" s="16">
        <v>8.2199999999999793</v>
      </c>
      <c r="B88" s="17" t="s">
        <v>440</v>
      </c>
      <c r="C88" s="17" t="s">
        <v>441</v>
      </c>
    </row>
    <row r="89" spans="1:3" ht="28.8" x14ac:dyDescent="0.3">
      <c r="A89" s="16">
        <v>8.2299999999999702</v>
      </c>
      <c r="B89" s="17" t="s">
        <v>442</v>
      </c>
      <c r="C89" s="17" t="s">
        <v>443</v>
      </c>
    </row>
    <row r="90" spans="1:3" ht="43.2" x14ac:dyDescent="0.3">
      <c r="A90" s="16">
        <v>8.23999999999997</v>
      </c>
      <c r="B90" s="17" t="s">
        <v>444</v>
      </c>
      <c r="C90" s="17" t="s">
        <v>445</v>
      </c>
    </row>
    <row r="91" spans="1:3" ht="28.8" x14ac:dyDescent="0.3">
      <c r="A91" s="16">
        <v>8.2499999999999698</v>
      </c>
      <c r="B91" s="17" t="s">
        <v>446</v>
      </c>
      <c r="C91" s="17" t="s">
        <v>447</v>
      </c>
    </row>
    <row r="92" spans="1:3" ht="43.2" x14ac:dyDescent="0.3">
      <c r="A92" s="16">
        <v>8.2599999999999696</v>
      </c>
      <c r="B92" s="17" t="s">
        <v>448</v>
      </c>
      <c r="C92" s="17" t="s">
        <v>449</v>
      </c>
    </row>
    <row r="93" spans="1:3" ht="43.2" x14ac:dyDescent="0.3">
      <c r="A93" s="16">
        <v>8.2699999999999694</v>
      </c>
      <c r="B93" s="17" t="s">
        <v>450</v>
      </c>
      <c r="C93" s="17" t="s">
        <v>451</v>
      </c>
    </row>
    <row r="94" spans="1:3" ht="28.8" x14ac:dyDescent="0.3">
      <c r="A94" s="16">
        <v>8.2799999999999603</v>
      </c>
      <c r="B94" s="17" t="s">
        <v>452</v>
      </c>
      <c r="C94" s="17" t="s">
        <v>453</v>
      </c>
    </row>
    <row r="95" spans="1:3" ht="43.2" x14ac:dyDescent="0.3">
      <c r="A95" s="16">
        <v>8.2899999999999601</v>
      </c>
      <c r="B95" s="17" t="s">
        <v>454</v>
      </c>
      <c r="C95" s="17" t="s">
        <v>455</v>
      </c>
    </row>
    <row r="96" spans="1:3" ht="28.8" x14ac:dyDescent="0.3">
      <c r="A96" s="16">
        <v>8.2999999999999599</v>
      </c>
      <c r="B96" s="17" t="s">
        <v>456</v>
      </c>
      <c r="C96" s="17" t="s">
        <v>457</v>
      </c>
    </row>
    <row r="97" spans="1:3" ht="43.2" x14ac:dyDescent="0.3">
      <c r="A97" s="16">
        <v>8.3099999999999596</v>
      </c>
      <c r="B97" s="17" t="s">
        <v>458</v>
      </c>
      <c r="C97" s="17" t="s">
        <v>459</v>
      </c>
    </row>
    <row r="98" spans="1:3" ht="43.2" x14ac:dyDescent="0.3">
      <c r="A98" s="16">
        <v>8.3199999999999505</v>
      </c>
      <c r="B98" s="17" t="s">
        <v>460</v>
      </c>
      <c r="C98" s="17" t="s">
        <v>461</v>
      </c>
    </row>
    <row r="99" spans="1:3" ht="28.8" x14ac:dyDescent="0.3">
      <c r="A99" s="16">
        <v>8.3299999999999503</v>
      </c>
      <c r="B99" s="17" t="s">
        <v>462</v>
      </c>
      <c r="C99" s="17" t="s">
        <v>463</v>
      </c>
    </row>
    <row r="100" spans="1:3" ht="43.2" x14ac:dyDescent="0.3">
      <c r="A100" s="16">
        <v>8.3399999999999501</v>
      </c>
      <c r="B100" s="17" t="s">
        <v>464</v>
      </c>
      <c r="C100" s="17" t="s">
        <v>465</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Risk Guide</vt:lpstr>
      <vt:lpstr>ISMS_Risk_Register</vt:lpstr>
      <vt:lpstr>Risk Treatment Plan</vt:lpstr>
      <vt:lpstr>Annex A Controls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AAZAF RITHA.J it23151710</cp:lastModifiedBy>
  <dcterms:created xsi:type="dcterms:W3CDTF">2025-10-14T02:51:44Z</dcterms:created>
  <dcterms:modified xsi:type="dcterms:W3CDTF">2025-10-14T17:47:41Z</dcterms:modified>
</cp:coreProperties>
</file>